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yaowei/Documents/大学物理—基础实验I/钢丝杨氏模量/"/>
    </mc:Choice>
  </mc:AlternateContent>
  <xr:revisionPtr revIDLastSave="0" documentId="13_ncr:1_{4DB209A7-1B01-C748-8F33-2BD8514D40B3}" xr6:coauthVersionLast="47" xr6:coauthVersionMax="47" xr10:uidLastSave="{00000000-0000-0000-0000-000000000000}"/>
  <bookViews>
    <workbookView xWindow="0" yWindow="760" windowWidth="30240" windowHeight="18880" xr2:uid="{2F3D2DC7-5A40-4F4C-ACCD-7152D62DCF65}"/>
  </bookViews>
  <sheets>
    <sheet name="硅光电池数据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33" i="1"/>
  <c r="C34" i="1"/>
  <c r="C27" i="1"/>
  <c r="F40" i="1"/>
  <c r="E40" i="1"/>
  <c r="F39" i="1"/>
  <c r="E39" i="1"/>
  <c r="F38" i="1"/>
  <c r="E38" i="1"/>
  <c r="F37" i="1"/>
  <c r="E37" i="1"/>
  <c r="F36" i="1"/>
  <c r="E36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5" i="1"/>
</calcChain>
</file>

<file path=xl/sharedStrings.xml><?xml version="1.0" encoding="utf-8"?>
<sst xmlns="http://schemas.openxmlformats.org/spreadsheetml/2006/main" count="10" uniqueCount="6">
  <si>
    <t>负载/Ω</t>
    <phoneticPr fontId="2" type="noConversion"/>
  </si>
  <si>
    <t>直流电压/V</t>
    <phoneticPr fontId="2" type="noConversion"/>
  </si>
  <si>
    <t>交流电压/V</t>
    <phoneticPr fontId="2" type="noConversion"/>
  </si>
  <si>
    <r>
      <rPr>
        <b/>
        <sz val="18"/>
        <color theme="1"/>
        <rFont val="Times New Roman"/>
        <family val="1"/>
      </rPr>
      <t>纹波系数</t>
    </r>
    <r>
      <rPr>
        <b/>
        <i/>
        <sz val="18"/>
        <color theme="1"/>
        <rFont val="Times New Roman"/>
        <family val="1"/>
      </rPr>
      <t>K</t>
    </r>
    <phoneticPr fontId="2" type="noConversion"/>
  </si>
  <si>
    <r>
      <rPr>
        <b/>
        <sz val="18"/>
        <color theme="1"/>
        <rFont val="Times New Roman"/>
        <family val="1"/>
      </rPr>
      <t>功率</t>
    </r>
    <r>
      <rPr>
        <b/>
        <i/>
        <sz val="18"/>
        <color theme="1"/>
        <rFont val="Times New Roman"/>
        <family val="1"/>
      </rPr>
      <t>P</t>
    </r>
    <r>
      <rPr>
        <b/>
        <sz val="18"/>
        <color theme="1"/>
        <rFont val="Times New Roman"/>
        <family val="1"/>
      </rPr>
      <t>/mW</t>
    </r>
    <phoneticPr fontId="2" type="noConversion"/>
  </si>
  <si>
    <t>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</si>
</sst>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_ "/>
    <numFmt numFmtId="177" formatCode="0.00000_ "/>
    <numFmt numFmtId="178" formatCode="0.00_ "/>
    <numFmt numFmtId="179" formatCode="0.0_ "/>
    <numFmt numFmtId="180" formatCode="0.0000_);[Red]\(0.0000\)"/>
    <numFmt numFmtId="181" formatCode="0.000%"/>
    <numFmt numFmtId="182" formatCode="0.000_ "/>
  </numFmts>
  <fonts count="8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8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硅光电池数据!$B$5:$B$20</c:f>
              <c:numCache>
                <c:formatCode>General</c:formatCode>
                <c:ptCount val="16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1420</c:v>
                </c:pt>
                <c:pt idx="9">
                  <c:v>1450</c:v>
                </c:pt>
                <c:pt idx="10">
                  <c:v>1500</c:v>
                </c:pt>
                <c:pt idx="11">
                  <c:v>1600</c:v>
                </c:pt>
                <c:pt idx="12">
                  <c:v>1700</c:v>
                </c:pt>
                <c:pt idx="13">
                  <c:v>1800</c:v>
                </c:pt>
                <c:pt idx="14">
                  <c:v>1900</c:v>
                </c:pt>
                <c:pt idx="15">
                  <c:v>2000</c:v>
                </c:pt>
              </c:numCache>
            </c:numRef>
          </c:xVal>
          <c:yVal>
            <c:numRef>
              <c:f>硅光电池数据!$F$5:$F$20</c:f>
              <c:numCache>
                <c:formatCode>0.0000_ </c:formatCode>
                <c:ptCount val="16"/>
                <c:pt idx="0">
                  <c:v>0.13728800000000002</c:v>
                </c:pt>
                <c:pt idx="1">
                  <c:v>0.60614439999999992</c:v>
                </c:pt>
                <c:pt idx="2">
                  <c:v>1.8431999999999997</c:v>
                </c:pt>
                <c:pt idx="3">
                  <c:v>2.28463225</c:v>
                </c:pt>
                <c:pt idx="4">
                  <c:v>2.3115901454545451</c:v>
                </c:pt>
                <c:pt idx="5">
                  <c:v>2.3313256333333339</c:v>
                </c:pt>
                <c:pt idx="6">
                  <c:v>2.3374971076923079</c:v>
                </c:pt>
                <c:pt idx="7">
                  <c:v>2.3408472071428572</c:v>
                </c:pt>
                <c:pt idx="8">
                  <c:v>2.3416565140845069</c:v>
                </c:pt>
                <c:pt idx="9">
                  <c:v>2.3422623517241381</c:v>
                </c:pt>
                <c:pt idx="10">
                  <c:v>2.3405011266666662</c:v>
                </c:pt>
                <c:pt idx="11">
                  <c:v>2.3268564062500001</c:v>
                </c:pt>
                <c:pt idx="12">
                  <c:v>2.3159115529411767</c:v>
                </c:pt>
                <c:pt idx="13">
                  <c:v>2.3006805555555556</c:v>
                </c:pt>
                <c:pt idx="14">
                  <c:v>2.2858189473684214</c:v>
                </c:pt>
                <c:pt idx="15">
                  <c:v>2.2663205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E-434E-A838-162C76C03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0.0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硅光电池数据!$B$5:$B$20</c:f>
              <c:numCache>
                <c:formatCode>General</c:formatCode>
                <c:ptCount val="16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1420</c:v>
                </c:pt>
                <c:pt idx="9">
                  <c:v>1450</c:v>
                </c:pt>
                <c:pt idx="10">
                  <c:v>1500</c:v>
                </c:pt>
                <c:pt idx="11">
                  <c:v>1600</c:v>
                </c:pt>
                <c:pt idx="12">
                  <c:v>1700</c:v>
                </c:pt>
                <c:pt idx="13">
                  <c:v>1800</c:v>
                </c:pt>
                <c:pt idx="14">
                  <c:v>1900</c:v>
                </c:pt>
                <c:pt idx="15">
                  <c:v>2000</c:v>
                </c:pt>
              </c:numCache>
            </c:numRef>
          </c:xVal>
          <c:yVal>
            <c:numRef>
              <c:f>硅光电池数据!$E$5:$E$20</c:f>
              <c:numCache>
                <c:formatCode>0.000%</c:formatCode>
                <c:ptCount val="16"/>
                <c:pt idx="0">
                  <c:v>0.16603053435114501</c:v>
                </c:pt>
                <c:pt idx="1">
                  <c:v>0.13931762794476035</c:v>
                </c:pt>
                <c:pt idx="2">
                  <c:v>5.2187499999999998E-2</c:v>
                </c:pt>
                <c:pt idx="3">
                  <c:v>2.8448561032087327E-2</c:v>
                </c:pt>
                <c:pt idx="4">
                  <c:v>2.6150758810987083E-2</c:v>
                </c:pt>
                <c:pt idx="5">
                  <c:v>2.4154011718282912E-2</c:v>
                </c:pt>
                <c:pt idx="6">
                  <c:v>2.2487379531895363E-2</c:v>
                </c:pt>
                <c:pt idx="7">
                  <c:v>2.0990995967519195E-2</c:v>
                </c:pt>
                <c:pt idx="8">
                  <c:v>2.0729366602687142E-2</c:v>
                </c:pt>
                <c:pt idx="9">
                  <c:v>2.0348363991535081E-2</c:v>
                </c:pt>
                <c:pt idx="10">
                  <c:v>1.9693654266958426E-2</c:v>
                </c:pt>
                <c:pt idx="11">
                  <c:v>1.8554029541331951E-2</c:v>
                </c:pt>
                <c:pt idx="12">
                  <c:v>1.7588952726539663E-2</c:v>
                </c:pt>
                <c:pt idx="13">
                  <c:v>1.6658476658476657E-2</c:v>
                </c:pt>
                <c:pt idx="14">
                  <c:v>1.583493282149712E-2</c:v>
                </c:pt>
                <c:pt idx="15">
                  <c:v>1.5124471582902772E-2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2A49-8F16-BAA59226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0.0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</a:ln>
            </c:spPr>
          </c:marker>
          <c:trendline>
            <c:spPr>
              <a:ln w="12700"/>
            </c:spPr>
            <c:trendlineType val="linear"/>
            <c:dispRSqr val="1"/>
            <c:dispEq val="1"/>
            <c:trendlineLbl>
              <c:layout>
                <c:manualLayout>
                  <c:x val="-0.11987701221168581"/>
                  <c:y val="-1.4516287812652077E-2"/>
                </c:manualLayout>
              </c:layout>
              <c:tx>
                <c:rich>
                  <a:bodyPr/>
                  <a:lstStyle/>
                  <a:p>
                    <a:pPr>
                      <a:defRPr sz="2000" b="1"/>
                    </a:pPr>
                    <a:r>
                      <a:rPr lang="en-US" altLang="zh-CN" sz="2000" b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0.3101x - 0.0617</a:t>
                    </a:r>
                    <a:br>
                      <a:rPr lang="en-US" altLang="zh-CN" sz="2000" b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altLang="zh-CN" sz="2000" b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0.9996</a:t>
                    </a:r>
                    <a:endParaRPr lang="en-US" altLang="zh-CN" sz="20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硅光电池数据!$C$27:$C$34</c:f>
              <c:numCache>
                <c:formatCode>0.000_ </c:formatCode>
                <c:ptCount val="8"/>
                <c:pt idx="0">
                  <c:v>0</c:v>
                </c:pt>
                <c:pt idx="1">
                  <c:v>4.8975</c:v>
                </c:pt>
                <c:pt idx="2">
                  <c:v>9.7949999999999999</c:v>
                </c:pt>
                <c:pt idx="3">
                  <c:v>14.692499999999999</c:v>
                </c:pt>
                <c:pt idx="4">
                  <c:v>19.59</c:v>
                </c:pt>
                <c:pt idx="5">
                  <c:v>24.487500000000001</c:v>
                </c:pt>
                <c:pt idx="6">
                  <c:v>29.384999999999998</c:v>
                </c:pt>
                <c:pt idx="7">
                  <c:v>34.282499999999999</c:v>
                </c:pt>
              </c:numCache>
            </c:numRef>
          </c:xVal>
          <c:yVal>
            <c:numRef>
              <c:f>硅光电池数据!$D$27:$D$34</c:f>
              <c:numCache>
                <c:formatCode>0.00_ </c:formatCode>
                <c:ptCount val="8"/>
                <c:pt idx="0">
                  <c:v>0</c:v>
                </c:pt>
                <c:pt idx="1">
                  <c:v>1.51</c:v>
                </c:pt>
                <c:pt idx="2">
                  <c:v>2.93</c:v>
                </c:pt>
                <c:pt idx="3">
                  <c:v>4.4800000000000004</c:v>
                </c:pt>
                <c:pt idx="4">
                  <c:v>5.89</c:v>
                </c:pt>
                <c:pt idx="5">
                  <c:v>7.45</c:v>
                </c:pt>
                <c:pt idx="6">
                  <c:v>9.1199999999999992</c:v>
                </c:pt>
                <c:pt idx="7">
                  <c:v>10.65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7-2546-9404-E644DAB9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</c:scaling>
        <c:delete val="0"/>
        <c:axPos val="b"/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  <c:min val="0"/>
        </c:scaling>
        <c:delete val="0"/>
        <c:axPos val="l"/>
        <c:numFmt formatCode="0.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硅光电池数据!$B$27:$B$40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  <c:pt idx="12">
                  <c:v>700</c:v>
                </c:pt>
                <c:pt idx="13">
                  <c:v>1000</c:v>
                </c:pt>
              </c:numCache>
            </c:numRef>
          </c:xVal>
          <c:yVal>
            <c:numRef>
              <c:f>硅光电池数据!$E$27:$E$40</c:f>
              <c:numCache>
                <c:formatCode>0.000%</c:formatCode>
                <c:ptCount val="14"/>
                <c:pt idx="9">
                  <c:v>7.7936962750716349E-2</c:v>
                </c:pt>
                <c:pt idx="10">
                  <c:v>6.5133928571428565E-2</c:v>
                </c:pt>
                <c:pt idx="11">
                  <c:v>5.715506193934216E-2</c:v>
                </c:pt>
                <c:pt idx="12">
                  <c:v>4.7615198059822145E-2</c:v>
                </c:pt>
                <c:pt idx="13">
                  <c:v>4.0247199691000386E-2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4-0641-9ACD-00FA345A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1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0.0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372959</xdr:colOff>
      <xdr:row>1</xdr:row>
      <xdr:rowOff>112910</xdr:rowOff>
    </xdr:from>
    <xdr:to>
      <xdr:col>15</xdr:col>
      <xdr:colOff>379310</xdr:colOff>
      <xdr:row>20</xdr:row>
      <xdr:rowOff>229281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1B4739BD-C210-714E-BDEF-F5655D6FA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25</xdr:col>
      <xdr:colOff>6351</xdr:colOff>
      <xdr:row>20</xdr:row>
      <xdr:rowOff>116371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57BBC0AE-4E8A-C747-829B-2B7A8B06B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423333</xdr:colOff>
      <xdr:row>24</xdr:row>
      <xdr:rowOff>169334</xdr:rowOff>
    </xdr:from>
    <xdr:to>
      <xdr:col>20</xdr:col>
      <xdr:colOff>0</xdr:colOff>
      <xdr:row>42</xdr:row>
      <xdr:rowOff>184105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16FD3F15-4FEA-4F45-82DF-CF4AEDB05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423333</xdr:colOff>
      <xdr:row>44</xdr:row>
      <xdr:rowOff>33867</xdr:rowOff>
    </xdr:from>
    <xdr:to>
      <xdr:col>20</xdr:col>
      <xdr:colOff>0</xdr:colOff>
      <xdr:row>62</xdr:row>
      <xdr:rowOff>48638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81CE435F-E98D-CD4A-BBDC-04521D952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FF44-1840-DF4F-AFD4-83A7157FAEC0}">
  <dimension ref="A3:N47"/>
  <sheetViews>
    <sheetView tabSelected="1" topLeftCell="A21" zoomScale="83" zoomScaleNormal="237" workbookViewId="0">
      <selection activeCell="C28" sqref="C28"/>
    </sheetView>
  </sheetViews>
  <sheetFormatPr baseColWidth="10" defaultColWidth="9.5" defaultRowHeight="21" customHeight="1"/>
  <cols>
    <col min="1" max="1" width="9.5" style="1"/>
    <col min="2" max="6" width="23.33203125" style="1" customWidth="1"/>
    <col min="7" max="16384" width="9.5" style="1"/>
  </cols>
  <sheetData>
    <row r="3" spans="2:14" ht="21" customHeight="1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 ht="60" customHeight="1">
      <c r="B4" s="12" t="s">
        <v>0</v>
      </c>
      <c r="C4" s="12" t="s">
        <v>1</v>
      </c>
      <c r="D4" s="12" t="s">
        <v>2</v>
      </c>
      <c r="E4" s="13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</row>
    <row r="5" spans="2:14" ht="40" customHeight="1">
      <c r="B5" s="14">
        <v>20</v>
      </c>
      <c r="C5" s="15">
        <v>5.2400000000000002E-2</v>
      </c>
      <c r="D5" s="15">
        <v>8.6999999999999994E-3</v>
      </c>
      <c r="E5" s="16">
        <f>100%*D5/C5</f>
        <v>0.16603053435114501</v>
      </c>
      <c r="F5" s="15">
        <f>1000*C5*C5/B5</f>
        <v>0.13728800000000002</v>
      </c>
      <c r="G5" s="3"/>
      <c r="H5" s="4"/>
      <c r="J5" s="3"/>
      <c r="K5" s="4"/>
      <c r="M5" s="3"/>
      <c r="N5" s="4"/>
    </row>
    <row r="6" spans="2:14" ht="40" customHeight="1">
      <c r="B6" s="14">
        <v>100</v>
      </c>
      <c r="C6" s="15">
        <v>0.2462</v>
      </c>
      <c r="D6" s="15">
        <v>3.4299999999999997E-2</v>
      </c>
      <c r="E6" s="16">
        <f t="shared" ref="E6:E20" si="0">100%*D6/C6</f>
        <v>0.13931762794476035</v>
      </c>
      <c r="F6" s="15">
        <f t="shared" ref="F6:F20" si="1">1000*C6*C6/B6</f>
        <v>0.60614439999999992</v>
      </c>
      <c r="G6" s="3"/>
      <c r="H6" s="4"/>
      <c r="I6" s="3"/>
      <c r="J6" s="3"/>
      <c r="K6" s="4"/>
      <c r="L6" s="3"/>
      <c r="M6" s="3"/>
      <c r="N6" s="4"/>
    </row>
    <row r="7" spans="2:14" ht="40" customHeight="1">
      <c r="B7" s="14">
        <v>500</v>
      </c>
      <c r="C7" s="15">
        <v>0.96</v>
      </c>
      <c r="D7" s="15">
        <v>5.0099999999999999E-2</v>
      </c>
      <c r="E7" s="16">
        <f t="shared" si="0"/>
        <v>5.2187499999999998E-2</v>
      </c>
      <c r="F7" s="15">
        <f t="shared" si="1"/>
        <v>1.8431999999999997</v>
      </c>
      <c r="G7" s="3"/>
      <c r="H7" s="4"/>
      <c r="I7" s="3"/>
      <c r="J7" s="3"/>
      <c r="K7" s="4"/>
      <c r="L7" s="3"/>
      <c r="M7" s="3"/>
      <c r="N7" s="4"/>
    </row>
    <row r="8" spans="2:14" ht="40" customHeight="1">
      <c r="B8" s="14">
        <v>1000</v>
      </c>
      <c r="C8" s="15">
        <v>1.5115000000000001</v>
      </c>
      <c r="D8" s="15">
        <v>4.2999999999999997E-2</v>
      </c>
      <c r="E8" s="16">
        <f t="shared" si="0"/>
        <v>2.8448561032087327E-2</v>
      </c>
      <c r="F8" s="15">
        <f t="shared" si="1"/>
        <v>2.28463225</v>
      </c>
      <c r="G8" s="3"/>
      <c r="H8" s="4"/>
      <c r="I8" s="3"/>
      <c r="J8" s="3"/>
      <c r="K8" s="4"/>
      <c r="L8" s="3"/>
      <c r="M8" s="3"/>
      <c r="N8" s="4"/>
    </row>
    <row r="9" spans="2:14" ht="40" customHeight="1">
      <c r="B9" s="14">
        <v>1100</v>
      </c>
      <c r="C9" s="15">
        <v>1.5946</v>
      </c>
      <c r="D9" s="15">
        <v>4.1700000000000001E-2</v>
      </c>
      <c r="E9" s="16">
        <f t="shared" si="0"/>
        <v>2.6150758810987083E-2</v>
      </c>
      <c r="F9" s="15">
        <f t="shared" si="1"/>
        <v>2.3115901454545451</v>
      </c>
      <c r="G9" s="3"/>
      <c r="H9" s="4"/>
      <c r="I9" s="3"/>
      <c r="J9" s="3"/>
      <c r="K9" s="4"/>
      <c r="L9" s="3"/>
      <c r="M9" s="3"/>
      <c r="N9" s="4"/>
    </row>
    <row r="10" spans="2:14" ht="40" customHeight="1">
      <c r="B10" s="14">
        <v>1200</v>
      </c>
      <c r="C10" s="15">
        <v>1.6726000000000001</v>
      </c>
      <c r="D10" s="15">
        <v>4.0399999999999998E-2</v>
      </c>
      <c r="E10" s="16">
        <f t="shared" si="0"/>
        <v>2.4154011718282912E-2</v>
      </c>
      <c r="F10" s="15">
        <f t="shared" si="1"/>
        <v>2.3313256333333339</v>
      </c>
      <c r="G10" s="3"/>
      <c r="H10" s="4"/>
      <c r="I10" s="3"/>
      <c r="J10" s="3"/>
      <c r="K10" s="4"/>
      <c r="L10" s="3"/>
      <c r="M10" s="3"/>
      <c r="N10" s="4"/>
    </row>
    <row r="11" spans="2:14" ht="40" customHeight="1">
      <c r="B11" s="14">
        <v>1300</v>
      </c>
      <c r="C11" s="15">
        <v>1.7432000000000001</v>
      </c>
      <c r="D11" s="15">
        <v>3.9199999999999999E-2</v>
      </c>
      <c r="E11" s="16">
        <f t="shared" si="0"/>
        <v>2.2487379531895363E-2</v>
      </c>
      <c r="F11" s="15">
        <f t="shared" si="1"/>
        <v>2.3374971076923079</v>
      </c>
      <c r="G11" s="3"/>
      <c r="H11" s="4"/>
      <c r="I11" s="3"/>
      <c r="J11" s="3"/>
      <c r="K11" s="4"/>
      <c r="L11" s="3"/>
      <c r="M11" s="3"/>
      <c r="N11" s="4"/>
    </row>
    <row r="12" spans="2:14" ht="40" customHeight="1">
      <c r="B12" s="14">
        <v>1400</v>
      </c>
      <c r="C12" s="15">
        <v>1.8103</v>
      </c>
      <c r="D12" s="15">
        <v>3.7999999999999999E-2</v>
      </c>
      <c r="E12" s="16">
        <f t="shared" si="0"/>
        <v>2.0990995967519195E-2</v>
      </c>
      <c r="F12" s="15">
        <f t="shared" si="1"/>
        <v>2.3408472071428572</v>
      </c>
      <c r="G12" s="3"/>
      <c r="H12" s="4"/>
      <c r="I12" s="3"/>
      <c r="J12" s="3"/>
      <c r="K12" s="4"/>
      <c r="L12" s="3"/>
      <c r="M12" s="3"/>
      <c r="N12" s="4"/>
    </row>
    <row r="13" spans="2:14" ht="40" customHeight="1">
      <c r="B13" s="14">
        <v>1420</v>
      </c>
      <c r="C13" s="15">
        <v>1.8234999999999999</v>
      </c>
      <c r="D13" s="15">
        <v>3.78E-2</v>
      </c>
      <c r="E13" s="16">
        <f t="shared" si="0"/>
        <v>2.0729366602687142E-2</v>
      </c>
      <c r="F13" s="15">
        <f t="shared" si="1"/>
        <v>2.3416565140845069</v>
      </c>
      <c r="G13" s="3"/>
      <c r="H13" s="4"/>
      <c r="I13" s="3"/>
      <c r="J13" s="3"/>
      <c r="K13" s="4"/>
      <c r="L13" s="3"/>
      <c r="M13" s="3"/>
      <c r="N13" s="4"/>
    </row>
    <row r="14" spans="2:14" ht="40" customHeight="1">
      <c r="B14" s="14">
        <v>1450</v>
      </c>
      <c r="C14" s="15">
        <v>1.8429</v>
      </c>
      <c r="D14" s="15">
        <v>3.7499999999999999E-2</v>
      </c>
      <c r="E14" s="16">
        <f t="shared" si="0"/>
        <v>2.0348363991535081E-2</v>
      </c>
      <c r="F14" s="15">
        <f t="shared" si="1"/>
        <v>2.3422623517241381</v>
      </c>
      <c r="G14" s="3"/>
      <c r="H14" s="4"/>
      <c r="I14" s="3"/>
      <c r="J14" s="3"/>
      <c r="K14" s="4"/>
      <c r="L14" s="3"/>
      <c r="M14" s="3"/>
      <c r="N14" s="4"/>
    </row>
    <row r="15" spans="2:14" ht="40" customHeight="1">
      <c r="B15" s="14">
        <v>1500</v>
      </c>
      <c r="C15" s="15">
        <v>1.8736999999999999</v>
      </c>
      <c r="D15" s="15">
        <v>3.6900000000000002E-2</v>
      </c>
      <c r="E15" s="16">
        <f t="shared" si="0"/>
        <v>1.9693654266958426E-2</v>
      </c>
      <c r="F15" s="15">
        <f t="shared" si="1"/>
        <v>2.3405011266666662</v>
      </c>
      <c r="G15" s="3"/>
      <c r="H15" s="4"/>
      <c r="I15" s="3"/>
      <c r="J15" s="3"/>
      <c r="K15" s="4"/>
      <c r="L15" s="3"/>
      <c r="M15" s="3"/>
      <c r="N15" s="4"/>
    </row>
    <row r="16" spans="2:14" ht="40" customHeight="1">
      <c r="B16" s="14">
        <v>1600</v>
      </c>
      <c r="C16" s="15">
        <v>1.9295</v>
      </c>
      <c r="D16" s="15">
        <v>3.5799999999999998E-2</v>
      </c>
      <c r="E16" s="16">
        <f t="shared" si="0"/>
        <v>1.8554029541331951E-2</v>
      </c>
      <c r="F16" s="15">
        <f t="shared" si="1"/>
        <v>2.3268564062500001</v>
      </c>
      <c r="G16" s="3"/>
      <c r="H16" s="4"/>
      <c r="I16" s="3"/>
      <c r="J16" s="3"/>
      <c r="K16" s="4"/>
      <c r="L16" s="3"/>
      <c r="M16" s="3"/>
      <c r="N16" s="4"/>
    </row>
    <row r="17" spans="1:14" ht="40" customHeight="1">
      <c r="B17" s="14">
        <v>1700</v>
      </c>
      <c r="C17" s="15">
        <v>1.9842</v>
      </c>
      <c r="D17" s="15">
        <v>3.49E-2</v>
      </c>
      <c r="E17" s="16">
        <f t="shared" si="0"/>
        <v>1.7588952726539663E-2</v>
      </c>
      <c r="F17" s="15">
        <f t="shared" si="1"/>
        <v>2.3159115529411767</v>
      </c>
      <c r="G17" s="3"/>
      <c r="H17" s="4"/>
      <c r="I17" s="3"/>
      <c r="J17" s="3"/>
      <c r="K17" s="4"/>
      <c r="L17" s="3"/>
      <c r="M17" s="3"/>
      <c r="N17" s="4"/>
    </row>
    <row r="18" spans="1:14" ht="40" customHeight="1">
      <c r="B18" s="14">
        <v>1800</v>
      </c>
      <c r="C18" s="17">
        <v>2.0350000000000001</v>
      </c>
      <c r="D18" s="15">
        <v>3.39E-2</v>
      </c>
      <c r="E18" s="16">
        <f t="shared" si="0"/>
        <v>1.6658476658476657E-2</v>
      </c>
      <c r="F18" s="15">
        <f t="shared" si="1"/>
        <v>2.3006805555555556</v>
      </c>
      <c r="G18" s="3"/>
      <c r="H18" s="4"/>
      <c r="I18" s="3"/>
      <c r="J18" s="3"/>
      <c r="K18" s="4"/>
      <c r="L18" s="3"/>
      <c r="M18" s="3"/>
      <c r="N18" s="4"/>
    </row>
    <row r="19" spans="1:14" ht="40" customHeight="1">
      <c r="B19" s="14">
        <v>1900</v>
      </c>
      <c r="C19" s="17">
        <v>2.0840000000000001</v>
      </c>
      <c r="D19" s="15">
        <v>3.3000000000000002E-2</v>
      </c>
      <c r="E19" s="16">
        <f t="shared" si="0"/>
        <v>1.583493282149712E-2</v>
      </c>
      <c r="F19" s="15">
        <f t="shared" si="1"/>
        <v>2.2858189473684214</v>
      </c>
      <c r="G19" s="3"/>
      <c r="H19" s="4"/>
      <c r="I19" s="3"/>
      <c r="J19" s="3"/>
      <c r="K19" s="4"/>
      <c r="L19" s="3"/>
      <c r="M19" s="3"/>
      <c r="N19" s="4"/>
    </row>
    <row r="20" spans="1:14" ht="40" customHeight="1">
      <c r="B20" s="14">
        <v>2000</v>
      </c>
      <c r="C20" s="17">
        <v>2.129</v>
      </c>
      <c r="D20" s="15">
        <v>3.2199999999999999E-2</v>
      </c>
      <c r="E20" s="16">
        <f t="shared" si="0"/>
        <v>1.5124471582902772E-2</v>
      </c>
      <c r="F20" s="15">
        <f t="shared" si="1"/>
        <v>2.2663205</v>
      </c>
      <c r="G20" s="3"/>
      <c r="H20" s="4"/>
      <c r="I20" s="3"/>
      <c r="J20" s="3"/>
      <c r="K20" s="4"/>
      <c r="L20" s="3"/>
      <c r="M20" s="3"/>
      <c r="N20" s="4"/>
    </row>
    <row r="21" spans="1:14" ht="21" customHeight="1">
      <c r="B21" s="14"/>
      <c r="C21" s="15"/>
      <c r="D21" s="14"/>
      <c r="E21" s="14"/>
      <c r="F21" s="14"/>
    </row>
    <row r="22" spans="1:14" ht="21" customHeight="1">
      <c r="B22" s="14"/>
      <c r="C22" s="14"/>
      <c r="D22" s="14"/>
      <c r="E22" s="14"/>
      <c r="F22" s="14"/>
    </row>
    <row r="23" spans="1:14" ht="21" customHeight="1">
      <c r="B23" s="14"/>
      <c r="C23" s="14"/>
      <c r="D23" s="14"/>
      <c r="E23" s="14"/>
      <c r="F23" s="14"/>
    </row>
    <row r="24" spans="1:14" ht="21" customHeight="1">
      <c r="B24" s="18"/>
      <c r="C24" s="14"/>
      <c r="D24" s="14"/>
      <c r="E24" s="14"/>
      <c r="F24" s="14"/>
    </row>
    <row r="25" spans="1:14" ht="21" customHeight="1">
      <c r="B25" s="13"/>
      <c r="C25" s="19"/>
      <c r="D25" s="19"/>
      <c r="E25" s="19"/>
      <c r="F25" s="19"/>
      <c r="G25" s="5"/>
      <c r="H25" s="5"/>
      <c r="I25" s="5"/>
      <c r="J25" s="5"/>
      <c r="K25" s="5"/>
      <c r="L25" s="5"/>
    </row>
    <row r="26" spans="1:14" ht="59" customHeight="1">
      <c r="B26" s="12" t="s">
        <v>0</v>
      </c>
      <c r="C26" s="12" t="s">
        <v>5</v>
      </c>
      <c r="D26" s="12" t="s">
        <v>2</v>
      </c>
      <c r="E26" s="13" t="s">
        <v>3</v>
      </c>
      <c r="F26" s="13" t="s">
        <v>4</v>
      </c>
    </row>
    <row r="27" spans="1:14" ht="40" customHeight="1">
      <c r="A27" s="1">
        <v>9.7949999999999999</v>
      </c>
      <c r="B27" s="14">
        <v>0</v>
      </c>
      <c r="C27" s="17">
        <f>B27*A27</f>
        <v>0</v>
      </c>
      <c r="D27" s="19">
        <v>0</v>
      </c>
      <c r="E27" s="16"/>
      <c r="F27" s="15"/>
    </row>
    <row r="28" spans="1:14" ht="40" customHeight="1">
      <c r="A28" s="1">
        <v>9.7949999999999999</v>
      </c>
      <c r="B28" s="14">
        <v>0.5</v>
      </c>
      <c r="C28" s="17">
        <f t="shared" ref="C28:C34" si="2">B28*A28</f>
        <v>4.8975</v>
      </c>
      <c r="D28" s="19">
        <v>1.51</v>
      </c>
      <c r="E28" s="16"/>
      <c r="F28" s="15"/>
      <c r="G28" s="5"/>
      <c r="H28" s="5"/>
      <c r="I28" s="5"/>
      <c r="J28" s="5"/>
      <c r="K28" s="5"/>
      <c r="L28" s="5"/>
    </row>
    <row r="29" spans="1:14" ht="40" customHeight="1">
      <c r="A29" s="1">
        <v>9.7949999999999999</v>
      </c>
      <c r="B29" s="14">
        <v>1</v>
      </c>
      <c r="C29" s="17">
        <f t="shared" si="2"/>
        <v>9.7949999999999999</v>
      </c>
      <c r="D29" s="19">
        <v>2.93</v>
      </c>
      <c r="E29" s="16"/>
      <c r="F29" s="15"/>
    </row>
    <row r="30" spans="1:14" ht="40" customHeight="1">
      <c r="A30" s="1">
        <v>9.7949999999999999</v>
      </c>
      <c r="B30" s="14">
        <v>1.5</v>
      </c>
      <c r="C30" s="17">
        <f t="shared" si="2"/>
        <v>14.692499999999999</v>
      </c>
      <c r="D30" s="19">
        <v>4.4800000000000004</v>
      </c>
      <c r="E30" s="16"/>
      <c r="F30" s="15"/>
    </row>
    <row r="31" spans="1:14" ht="40" customHeight="1">
      <c r="A31" s="1">
        <v>9.7949999999999999</v>
      </c>
      <c r="B31" s="14">
        <v>2</v>
      </c>
      <c r="C31" s="17">
        <f t="shared" si="2"/>
        <v>19.59</v>
      </c>
      <c r="D31" s="19">
        <v>5.89</v>
      </c>
      <c r="E31" s="16"/>
      <c r="F31" s="15"/>
    </row>
    <row r="32" spans="1:14" ht="40" customHeight="1">
      <c r="A32" s="1">
        <v>9.7949999999999999</v>
      </c>
      <c r="B32" s="14">
        <v>2.5</v>
      </c>
      <c r="C32" s="17">
        <f t="shared" si="2"/>
        <v>24.487500000000001</v>
      </c>
      <c r="D32" s="19">
        <v>7.45</v>
      </c>
      <c r="E32" s="16"/>
      <c r="F32" s="15"/>
    </row>
    <row r="33" spans="1:10" ht="40" customHeight="1">
      <c r="A33" s="1">
        <v>9.7949999999999999</v>
      </c>
      <c r="B33" s="14">
        <v>3</v>
      </c>
      <c r="C33" s="17">
        <f t="shared" si="2"/>
        <v>29.384999999999998</v>
      </c>
      <c r="D33" s="19">
        <v>9.1199999999999992</v>
      </c>
      <c r="E33" s="16"/>
      <c r="F33" s="15"/>
    </row>
    <row r="34" spans="1:10" ht="40" customHeight="1">
      <c r="A34" s="1">
        <v>9.7949999999999999</v>
      </c>
      <c r="B34" s="14">
        <v>3.5</v>
      </c>
      <c r="C34" s="17">
        <f t="shared" si="2"/>
        <v>34.282499999999999</v>
      </c>
      <c r="D34" s="19">
        <v>10.65</v>
      </c>
      <c r="E34" s="16"/>
      <c r="F34" s="15"/>
      <c r="G34" s="6"/>
      <c r="H34" s="6"/>
      <c r="I34" s="7"/>
    </row>
    <row r="35" spans="1:10" ht="40" customHeight="1">
      <c r="B35" s="14">
        <v>200</v>
      </c>
      <c r="C35" s="15">
        <v>1.8631</v>
      </c>
      <c r="D35" s="15">
        <v>0.19009999999999999</v>
      </c>
      <c r="E35" s="16"/>
      <c r="F35" s="15"/>
    </row>
    <row r="36" spans="1:10" ht="40" customHeight="1">
      <c r="B36" s="14">
        <v>300</v>
      </c>
      <c r="C36" s="17">
        <v>2.0939999999999999</v>
      </c>
      <c r="D36" s="15">
        <v>0.16320000000000001</v>
      </c>
      <c r="E36" s="16">
        <f t="shared" ref="E32:E40" si="3">100%*D36/C36</f>
        <v>7.7936962750716349E-2</v>
      </c>
      <c r="F36" s="15">
        <f t="shared" ref="F32:F40" si="4">1000*C36*C36/B36</f>
        <v>14.616119999999997</v>
      </c>
    </row>
    <row r="37" spans="1:10" ht="40" customHeight="1">
      <c r="B37" s="14">
        <v>400</v>
      </c>
      <c r="C37" s="17">
        <v>2.2400000000000002</v>
      </c>
      <c r="D37" s="15">
        <v>0.1459</v>
      </c>
      <c r="E37" s="16">
        <f t="shared" si="3"/>
        <v>6.5133928571428565E-2</v>
      </c>
      <c r="F37" s="15">
        <f t="shared" si="4"/>
        <v>12.544</v>
      </c>
    </row>
    <row r="38" spans="1:10" ht="40" customHeight="1">
      <c r="B38" s="14">
        <v>500</v>
      </c>
      <c r="C38" s="17">
        <v>2.3410000000000002</v>
      </c>
      <c r="D38" s="15">
        <v>0.1338</v>
      </c>
      <c r="E38" s="16">
        <f t="shared" si="3"/>
        <v>5.715506193934216E-2</v>
      </c>
      <c r="F38" s="15">
        <f t="shared" si="4"/>
        <v>10.960562000000001</v>
      </c>
    </row>
    <row r="39" spans="1:10" ht="40" customHeight="1">
      <c r="B39" s="14">
        <v>700</v>
      </c>
      <c r="C39" s="17">
        <v>2.4740000000000002</v>
      </c>
      <c r="D39" s="15">
        <v>0.1178</v>
      </c>
      <c r="E39" s="16">
        <f t="shared" si="3"/>
        <v>4.7615198059822145E-2</v>
      </c>
      <c r="F39" s="15">
        <f t="shared" si="4"/>
        <v>8.7438228571428578</v>
      </c>
    </row>
    <row r="40" spans="1:10" ht="40" customHeight="1">
      <c r="B40" s="14">
        <v>1000</v>
      </c>
      <c r="C40" s="17">
        <v>2.589</v>
      </c>
      <c r="D40" s="15">
        <v>0.1042</v>
      </c>
      <c r="E40" s="16">
        <f t="shared" si="3"/>
        <v>4.0247199691000386E-2</v>
      </c>
      <c r="F40" s="15">
        <f t="shared" si="4"/>
        <v>6.7029209999999999</v>
      </c>
    </row>
    <row r="41" spans="1:10" ht="21" customHeight="1">
      <c r="D41" s="8"/>
      <c r="E41" s="8"/>
      <c r="F41" s="8"/>
      <c r="G41" s="8"/>
      <c r="H41" s="8"/>
      <c r="I41" s="8"/>
      <c r="J41" s="8"/>
    </row>
    <row r="42" spans="1:10" ht="21" customHeight="1">
      <c r="B42" s="6"/>
      <c r="C42" s="6"/>
      <c r="D42" s="9"/>
      <c r="E42" s="9"/>
      <c r="F42" s="9"/>
      <c r="G42" s="9"/>
      <c r="H42" s="9"/>
      <c r="I42" s="9"/>
      <c r="J42" s="9"/>
    </row>
    <row r="43" spans="1:10" ht="21" customHeight="1">
      <c r="B43" s="4"/>
      <c r="C43" s="4"/>
      <c r="D43" s="9"/>
      <c r="E43" s="9"/>
      <c r="F43" s="9"/>
      <c r="G43" s="9"/>
      <c r="H43" s="9"/>
      <c r="I43" s="9"/>
      <c r="J43" s="9"/>
    </row>
    <row r="44" spans="1:10" ht="21" customHeight="1">
      <c r="B44" s="8"/>
      <c r="C44" s="8"/>
      <c r="D44" s="9"/>
      <c r="E44" s="9"/>
      <c r="F44" s="9"/>
      <c r="G44" s="9"/>
      <c r="H44" s="9"/>
      <c r="I44" s="9"/>
      <c r="J44" s="9"/>
    </row>
    <row r="45" spans="1:10" ht="21" customHeight="1">
      <c r="B45" s="9"/>
      <c r="C45" s="9"/>
      <c r="D45" s="4"/>
      <c r="E45" s="4"/>
      <c r="F45" s="4"/>
      <c r="G45" s="4"/>
      <c r="H45" s="4"/>
      <c r="I45" s="4"/>
      <c r="J45" s="4"/>
    </row>
    <row r="46" spans="1:10" ht="21" customHeight="1">
      <c r="B46" s="9"/>
      <c r="C46" s="9"/>
      <c r="D46" s="9"/>
      <c r="E46" s="9"/>
      <c r="F46" s="9"/>
      <c r="G46" s="9"/>
      <c r="H46" s="9"/>
      <c r="I46" s="9"/>
      <c r="J46" s="9"/>
    </row>
    <row r="47" spans="1:10" ht="21" customHeight="1">
      <c r="B47" s="11"/>
      <c r="C47" s="2"/>
      <c r="D47" s="4"/>
      <c r="E47" s="4"/>
      <c r="F47" s="4"/>
      <c r="G47" s="4"/>
      <c r="H47" s="4"/>
      <c r="I47" s="4"/>
      <c r="J47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2A1C-B534-7347-AA8E-B0C42F72535B}">
  <dimension ref="A1"/>
  <sheetViews>
    <sheetView workbookViewId="0">
      <selection activeCell="C43" sqref="C43"/>
    </sheetView>
  </sheetViews>
  <sheetFormatPr baseColWidth="10" defaultRowHeight="16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硅光电池数据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2022-03-29T05:45:21Z</dcterms:created>
  <dcterms:modified xsi:type="dcterms:W3CDTF">2022-04-27T05:45:01Z</dcterms:modified>
</cp:coreProperties>
</file>