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yaowei/Documents/大学物理—基础实验I/光电效应/"/>
    </mc:Choice>
  </mc:AlternateContent>
  <xr:revisionPtr revIDLastSave="0" documentId="8_{AF91E85B-44B5-704A-99C1-F582B3640332}" xr6:coauthVersionLast="47" xr6:coauthVersionMax="47" xr10:uidLastSave="{00000000-0000-0000-0000-000000000000}"/>
  <bookViews>
    <workbookView xWindow="0" yWindow="760" windowWidth="30240" windowHeight="18880" xr2:uid="{AA40C829-73D7-0940-B92C-30D35CA357B1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4" i="1" l="1"/>
  <c r="M44" i="1"/>
  <c r="N44" i="1"/>
  <c r="O44" i="1"/>
  <c r="P44" i="1"/>
  <c r="K44" i="1"/>
</calcChain>
</file>

<file path=xl/sharedStrings.xml><?xml version="1.0" encoding="utf-8"?>
<sst xmlns="http://schemas.openxmlformats.org/spreadsheetml/2006/main" count="32" uniqueCount="15">
  <si>
    <t>$U_{AK}/V$</t>
    <phoneticPr fontId="1" type="noConversion"/>
  </si>
  <si>
    <t>$I/10^{-11}A$</t>
    <phoneticPr fontId="1" type="noConversion"/>
  </si>
  <si>
    <t>546.1nm</t>
    <phoneticPr fontId="1" type="noConversion"/>
  </si>
  <si>
    <t>557.0nm</t>
    <phoneticPr fontId="1" type="noConversion"/>
  </si>
  <si>
    <t>435.8nm</t>
    <phoneticPr fontId="1" type="noConversion"/>
  </si>
  <si>
    <t>404.7nm</t>
    <phoneticPr fontId="1" type="noConversion"/>
  </si>
  <si>
    <t>365.0nm</t>
    <phoneticPr fontId="1" type="noConversion"/>
  </si>
  <si>
    <r>
      <rPr>
        <sz val="16"/>
        <color theme="1"/>
        <rFont val="宋体"/>
        <family val="3"/>
        <charset val="134"/>
      </rPr>
      <t>光阑孔直径</t>
    </r>
    <r>
      <rPr>
        <sz val="16"/>
        <color theme="1"/>
        <rFont val="Times New Roman"/>
        <family val="1"/>
      </rPr>
      <t>$\Phi=8mm$</t>
    </r>
    <r>
      <rPr>
        <sz val="16"/>
        <color theme="1"/>
        <rFont val="宋体"/>
        <family val="3"/>
        <charset val="134"/>
      </rPr>
      <t>，距离</t>
    </r>
    <r>
      <rPr>
        <sz val="16"/>
        <color theme="1"/>
        <rFont val="Times New Roman"/>
        <family val="1"/>
      </rPr>
      <t>$L=400mm$</t>
    </r>
    <phoneticPr fontId="1" type="noConversion"/>
  </si>
  <si>
    <r>
      <rPr>
        <sz val="16"/>
        <color theme="1"/>
        <rFont val="宋体"/>
        <family val="3"/>
        <charset val="134"/>
      </rPr>
      <t>波长</t>
    </r>
    <r>
      <rPr>
        <sz val="16"/>
        <color theme="1"/>
        <rFont val="Times New Roman"/>
        <family val="1"/>
      </rPr>
      <t>$\lambda_i/nm$</t>
    </r>
    <phoneticPr fontId="1" type="noConversion"/>
  </si>
  <si>
    <r>
      <rPr>
        <sz val="16"/>
        <color theme="1"/>
        <rFont val="宋体"/>
        <family val="3"/>
        <charset val="134"/>
      </rPr>
      <t>频率</t>
    </r>
    <r>
      <rPr>
        <sz val="16"/>
        <color theme="1"/>
        <rFont val="Times New Roman"/>
        <family val="1"/>
      </rPr>
      <t>$\nu_i/10^{14}Hz$</t>
    </r>
    <phoneticPr fontId="1" type="noConversion"/>
  </si>
  <si>
    <r>
      <rPr>
        <sz val="16"/>
        <color theme="1"/>
        <rFont val="宋体"/>
        <family val="3"/>
        <charset val="134"/>
      </rPr>
      <t>零点流法测得的截止电压</t>
    </r>
    <r>
      <rPr>
        <sz val="16"/>
        <color theme="1"/>
        <rFont val="Times New Roman"/>
        <family val="1"/>
      </rPr>
      <t>$\U_{0i}/V$</t>
    </r>
    <phoneticPr fontId="1" type="noConversion"/>
  </si>
  <si>
    <r>
      <rPr>
        <sz val="16"/>
        <color theme="1"/>
        <rFont val="宋体"/>
        <family val="3"/>
        <charset val="134"/>
      </rPr>
      <t>补偿法测得的截止电压</t>
    </r>
    <r>
      <rPr>
        <sz val="16"/>
        <color theme="1"/>
        <rFont val="Times New Roman"/>
        <family val="1"/>
      </rPr>
      <t>$\U_{0i}/V$</t>
    </r>
    <phoneticPr fontId="1" type="noConversion"/>
  </si>
  <si>
    <t>$\Phi/mm$</t>
    <phoneticPr fontId="1" type="noConversion"/>
  </si>
  <si>
    <t>$I/10^{-10}A$</t>
    <phoneticPr fontId="1" type="noConversion"/>
  </si>
  <si>
    <t>$L/cm$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</si>
</sst>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_ "/>
    <numFmt numFmtId="181" formatCode="0.0000_ "/>
  </numFmts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宋体"/>
      <family val="3"/>
      <charset val="134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176" fontId="3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81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000"/>
      <color rgb="FFA5A5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flat">
                <a:solidFill>
                  <a:schemeClr val="accent1"/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-0.16641898634884697"/>
                  <c:y val="3.3424753913604291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Sheet1!$C$4:$G$4</c:f>
              <c:numCache>
                <c:formatCode>0.000_ </c:formatCode>
                <c:ptCount val="5"/>
                <c:pt idx="0">
                  <c:v>8.2140000000000004</c:v>
                </c:pt>
                <c:pt idx="1">
                  <c:v>7.4080000000000004</c:v>
                </c:pt>
                <c:pt idx="2">
                  <c:v>6.8789999999999996</c:v>
                </c:pt>
                <c:pt idx="3">
                  <c:v>5.49</c:v>
                </c:pt>
                <c:pt idx="4">
                  <c:v>5.1959999999999997</c:v>
                </c:pt>
              </c:numCache>
            </c:numRef>
          </c:xVal>
          <c:yVal>
            <c:numRef>
              <c:f>Sheet1!$C$5:$G$5</c:f>
              <c:numCache>
                <c:formatCode>0.000_ </c:formatCode>
                <c:ptCount val="5"/>
                <c:pt idx="0">
                  <c:v>1.744</c:v>
                </c:pt>
                <c:pt idx="1">
                  <c:v>1.4350000000000001</c:v>
                </c:pt>
                <c:pt idx="2">
                  <c:v>1.1120000000000001</c:v>
                </c:pt>
                <c:pt idx="3">
                  <c:v>0.55800000000000005</c:v>
                </c:pt>
                <c:pt idx="4">
                  <c:v>0.45400000000000001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0A-D047-AD10-88E450BB7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  <c:max val="1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  <c:spPr>
        <a:ln cap="rnd">
          <a:noFill/>
          <a:round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trendline>
            <c:spPr>
              <a:ln w="12700" cap="flat">
                <a:solidFill>
                  <a:schemeClr val="accent2"/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-0.16641898634884697"/>
                  <c:y val="3.3424753913604291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Sheet1!$C$4:$G$4</c:f>
              <c:numCache>
                <c:formatCode>0.000_ </c:formatCode>
                <c:ptCount val="5"/>
                <c:pt idx="0">
                  <c:v>8.2140000000000004</c:v>
                </c:pt>
                <c:pt idx="1">
                  <c:v>7.4080000000000004</c:v>
                </c:pt>
                <c:pt idx="2">
                  <c:v>6.8789999999999996</c:v>
                </c:pt>
                <c:pt idx="3">
                  <c:v>5.49</c:v>
                </c:pt>
                <c:pt idx="4">
                  <c:v>5.1959999999999997</c:v>
                </c:pt>
              </c:numCache>
            </c:numRef>
          </c:xVal>
          <c:yVal>
            <c:numRef>
              <c:f>Sheet1!$C$6:$G$6</c:f>
              <c:numCache>
                <c:formatCode>0.000_ </c:formatCode>
                <c:ptCount val="5"/>
                <c:pt idx="0">
                  <c:v>1.746</c:v>
                </c:pt>
                <c:pt idx="1">
                  <c:v>1.4359999999999999</c:v>
                </c:pt>
                <c:pt idx="2">
                  <c:v>1.1140000000000001</c:v>
                </c:pt>
                <c:pt idx="3">
                  <c:v>0.55900000000000005</c:v>
                </c:pt>
                <c:pt idx="4">
                  <c:v>0.45400000000000001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F8-F54A-AF49-B2E48F39E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  <c:max val="1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  <c:spPr>
        <a:ln cap="rnd">
          <a:noFill/>
          <a:round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Sheet1!$D$21:$M$21</c:f>
              <c:numCache>
                <c:formatCode>General</c:formatCode>
                <c:ptCount val="10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</c:numCache>
            </c:numRef>
          </c:xVal>
          <c:yVal>
            <c:numRef>
              <c:f>Sheet1!$D$22:$M$22</c:f>
              <c:numCache>
                <c:formatCode>General</c:formatCode>
                <c:ptCount val="10"/>
                <c:pt idx="0">
                  <c:v>-33.200000000000003</c:v>
                </c:pt>
                <c:pt idx="1">
                  <c:v>-32.5</c:v>
                </c:pt>
                <c:pt idx="2">
                  <c:v>-31.8</c:v>
                </c:pt>
                <c:pt idx="3">
                  <c:v>-31</c:v>
                </c:pt>
                <c:pt idx="4">
                  <c:v>-28.1</c:v>
                </c:pt>
                <c:pt idx="5">
                  <c:v>-20.100000000000001</c:v>
                </c:pt>
                <c:pt idx="6">
                  <c:v>9.5</c:v>
                </c:pt>
                <c:pt idx="7">
                  <c:v>88.4</c:v>
                </c:pt>
                <c:pt idx="8">
                  <c:v>218</c:v>
                </c:pt>
                <c:pt idx="9">
                  <c:v>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A4-8A45-95B8-D5E9719841E5}"/>
            </c:ext>
          </c:extLst>
        </c:ser>
        <c:ser>
          <c:idx val="1"/>
          <c:order val="1"/>
          <c:spPr>
            <a:ln w="19050">
              <a:solidFill>
                <a:schemeClr val="accent2"/>
              </a:solidFill>
            </a:ln>
          </c:spPr>
          <c:xVal>
            <c:numRef>
              <c:f>Sheet1!$D$23:$M$23</c:f>
              <c:numCache>
                <c:formatCode>General</c:formatCode>
                <c:ptCount val="10"/>
                <c:pt idx="0">
                  <c:v>-1.2</c:v>
                </c:pt>
                <c:pt idx="1">
                  <c:v>-1.1000000000000001</c:v>
                </c:pt>
                <c:pt idx="2">
                  <c:v>-1</c:v>
                </c:pt>
                <c:pt idx="3">
                  <c:v>-0.9</c:v>
                </c:pt>
                <c:pt idx="4">
                  <c:v>-0.80000000000000104</c:v>
                </c:pt>
                <c:pt idx="5">
                  <c:v>-0.70000000000000095</c:v>
                </c:pt>
                <c:pt idx="6">
                  <c:v>-0.60000000000000098</c:v>
                </c:pt>
                <c:pt idx="7">
                  <c:v>-0.500000000000001</c:v>
                </c:pt>
                <c:pt idx="8">
                  <c:v>-0.40000000000000102</c:v>
                </c:pt>
                <c:pt idx="9">
                  <c:v>-0.30000000000000099</c:v>
                </c:pt>
              </c:numCache>
            </c:numRef>
          </c:xVal>
          <c:yVal>
            <c:numRef>
              <c:f>Sheet1!$D$24:$M$24</c:f>
              <c:numCache>
                <c:formatCode>General</c:formatCode>
                <c:ptCount val="10"/>
                <c:pt idx="0">
                  <c:v>-43</c:v>
                </c:pt>
                <c:pt idx="1">
                  <c:v>-42</c:v>
                </c:pt>
                <c:pt idx="2">
                  <c:v>-40.9</c:v>
                </c:pt>
                <c:pt idx="3">
                  <c:v>-39.9</c:v>
                </c:pt>
                <c:pt idx="4">
                  <c:v>-37.6</c:v>
                </c:pt>
                <c:pt idx="5">
                  <c:v>-33.5</c:v>
                </c:pt>
                <c:pt idx="6">
                  <c:v>-22.4</c:v>
                </c:pt>
                <c:pt idx="7">
                  <c:v>10</c:v>
                </c:pt>
                <c:pt idx="8">
                  <c:v>93</c:v>
                </c:pt>
                <c:pt idx="9">
                  <c:v>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A4-8A45-95B8-D5E9719841E5}"/>
            </c:ext>
          </c:extLst>
        </c:ser>
        <c:ser>
          <c:idx val="2"/>
          <c:order val="2"/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marker>
          <c:xVal>
            <c:numRef>
              <c:f>Sheet1!$D$25:$M$25</c:f>
              <c:numCache>
                <c:formatCode>General</c:formatCode>
                <c:ptCount val="10"/>
                <c:pt idx="0">
                  <c:v>-1.7</c:v>
                </c:pt>
                <c:pt idx="1">
                  <c:v>-1.6</c:v>
                </c:pt>
                <c:pt idx="2">
                  <c:v>-1.5</c:v>
                </c:pt>
                <c:pt idx="3">
                  <c:v>-1.4</c:v>
                </c:pt>
                <c:pt idx="4">
                  <c:v>-1.3</c:v>
                </c:pt>
                <c:pt idx="5">
                  <c:v>-1.2</c:v>
                </c:pt>
                <c:pt idx="6">
                  <c:v>-1.1000000000000001</c:v>
                </c:pt>
                <c:pt idx="7">
                  <c:v>-1</c:v>
                </c:pt>
                <c:pt idx="8">
                  <c:v>-0.90000000000000102</c:v>
                </c:pt>
                <c:pt idx="9">
                  <c:v>-0.80000000000000104</c:v>
                </c:pt>
              </c:numCache>
            </c:numRef>
          </c:xVal>
          <c:yVal>
            <c:numRef>
              <c:f>Sheet1!$D$26:$M$26</c:f>
              <c:numCache>
                <c:formatCode>General</c:formatCode>
                <c:ptCount val="10"/>
                <c:pt idx="0">
                  <c:v>-149.69999999999999</c:v>
                </c:pt>
                <c:pt idx="1">
                  <c:v>-141.9</c:v>
                </c:pt>
                <c:pt idx="2">
                  <c:v>-133.5</c:v>
                </c:pt>
                <c:pt idx="3">
                  <c:v>-120.4</c:v>
                </c:pt>
                <c:pt idx="4">
                  <c:v>-102.7</c:v>
                </c:pt>
                <c:pt idx="5">
                  <c:v>-75</c:v>
                </c:pt>
                <c:pt idx="6">
                  <c:v>-11.7</c:v>
                </c:pt>
                <c:pt idx="7">
                  <c:v>113.2</c:v>
                </c:pt>
                <c:pt idx="8">
                  <c:v>308</c:v>
                </c:pt>
                <c:pt idx="9">
                  <c:v>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A4-8A45-95B8-D5E9719841E5}"/>
            </c:ext>
          </c:extLst>
        </c:ser>
        <c:ser>
          <c:idx val="3"/>
          <c:order val="3"/>
          <c:spPr>
            <a:ln w="12700">
              <a:solidFill>
                <a:srgbClr val="FFC000"/>
              </a:solidFill>
            </a:ln>
          </c:spPr>
          <c:xVal>
            <c:numRef>
              <c:f>Sheet1!$D$27:$M$27</c:f>
              <c:numCache>
                <c:formatCode>General</c:formatCode>
                <c:ptCount val="10"/>
                <c:pt idx="0">
                  <c:v>-1.9</c:v>
                </c:pt>
                <c:pt idx="1">
                  <c:v>-1.8</c:v>
                </c:pt>
                <c:pt idx="2">
                  <c:v>-1.7</c:v>
                </c:pt>
                <c:pt idx="3">
                  <c:v>-1.6</c:v>
                </c:pt>
                <c:pt idx="4">
                  <c:v>-1.5</c:v>
                </c:pt>
                <c:pt idx="5">
                  <c:v>-1.4</c:v>
                </c:pt>
                <c:pt idx="6">
                  <c:v>-1.3</c:v>
                </c:pt>
                <c:pt idx="7">
                  <c:v>-1.2</c:v>
                </c:pt>
                <c:pt idx="8">
                  <c:v>-1.1000000000000001</c:v>
                </c:pt>
                <c:pt idx="9">
                  <c:v>-1</c:v>
                </c:pt>
              </c:numCache>
            </c:numRef>
          </c:xVal>
          <c:yVal>
            <c:numRef>
              <c:f>Sheet1!$D$28:$M$28</c:f>
              <c:numCache>
                <c:formatCode>General</c:formatCode>
                <c:ptCount val="10"/>
                <c:pt idx="0">
                  <c:v>-73.7</c:v>
                </c:pt>
                <c:pt idx="1">
                  <c:v>-66.3</c:v>
                </c:pt>
                <c:pt idx="2">
                  <c:v>-58.6</c:v>
                </c:pt>
                <c:pt idx="3">
                  <c:v>-45.3</c:v>
                </c:pt>
                <c:pt idx="4">
                  <c:v>-25.7</c:v>
                </c:pt>
                <c:pt idx="5">
                  <c:v>4</c:v>
                </c:pt>
                <c:pt idx="6">
                  <c:v>51.5</c:v>
                </c:pt>
                <c:pt idx="7">
                  <c:v>125.2</c:v>
                </c:pt>
                <c:pt idx="8">
                  <c:v>239</c:v>
                </c:pt>
                <c:pt idx="9">
                  <c:v>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A4-8A45-95B8-D5E9719841E5}"/>
            </c:ext>
          </c:extLst>
        </c:ser>
        <c:ser>
          <c:idx val="4"/>
          <c:order val="4"/>
          <c:spPr>
            <a:ln w="12700">
              <a:solidFill>
                <a:schemeClr val="accent6"/>
              </a:solidFill>
            </a:ln>
          </c:spPr>
          <c:marker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numRef>
              <c:f>Sheet1!$D$29:$M$29</c:f>
              <c:numCache>
                <c:formatCode>General</c:formatCode>
                <c:ptCount val="10"/>
                <c:pt idx="0">
                  <c:v>-2</c:v>
                </c:pt>
                <c:pt idx="1">
                  <c:v>-1.95</c:v>
                </c:pt>
                <c:pt idx="2">
                  <c:v>-1.9</c:v>
                </c:pt>
                <c:pt idx="3">
                  <c:v>-1.85</c:v>
                </c:pt>
                <c:pt idx="4">
                  <c:v>-1.8</c:v>
                </c:pt>
                <c:pt idx="5">
                  <c:v>-1.75</c:v>
                </c:pt>
                <c:pt idx="6">
                  <c:v>-1.7</c:v>
                </c:pt>
                <c:pt idx="7">
                  <c:v>-1.65</c:v>
                </c:pt>
                <c:pt idx="8">
                  <c:v>-1.6</c:v>
                </c:pt>
                <c:pt idx="9">
                  <c:v>-1.55</c:v>
                </c:pt>
              </c:numCache>
            </c:numRef>
          </c:xVal>
          <c:yVal>
            <c:numRef>
              <c:f>Sheet1!$D$30:$M$30</c:f>
              <c:numCache>
                <c:formatCode>General</c:formatCode>
                <c:ptCount val="10"/>
                <c:pt idx="0">
                  <c:v>-57.5</c:v>
                </c:pt>
                <c:pt idx="1">
                  <c:v>-50.9</c:v>
                </c:pt>
                <c:pt idx="2">
                  <c:v>-43.4</c:v>
                </c:pt>
                <c:pt idx="3">
                  <c:v>-35.700000000000003</c:v>
                </c:pt>
                <c:pt idx="4">
                  <c:v>-25.3</c:v>
                </c:pt>
                <c:pt idx="5">
                  <c:v>-11.5</c:v>
                </c:pt>
                <c:pt idx="6">
                  <c:v>9.5</c:v>
                </c:pt>
                <c:pt idx="7">
                  <c:v>41</c:v>
                </c:pt>
                <c:pt idx="8">
                  <c:v>87.1</c:v>
                </c:pt>
                <c:pt idx="9">
                  <c:v>147.6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2A4-8A45-95B8-D5E971984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  <c:min val="-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  <c:spPr>
        <a:ln cap="rnd">
          <a:noFill/>
          <a:round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2700">
                <a:solidFill>
                  <a:schemeClr val="accent4"/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-0.17621903611386866"/>
                  <c:y val="-3.2698274293803814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b="0" i="0"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Sheet1!$C$4:$G$4</c:f>
              <c:numCache>
                <c:formatCode>0.000_ </c:formatCode>
                <c:ptCount val="5"/>
                <c:pt idx="0">
                  <c:v>8.2140000000000004</c:v>
                </c:pt>
                <c:pt idx="1">
                  <c:v>7.4080000000000004</c:v>
                </c:pt>
                <c:pt idx="2">
                  <c:v>6.8789999999999996</c:v>
                </c:pt>
                <c:pt idx="3">
                  <c:v>5.49</c:v>
                </c:pt>
                <c:pt idx="4">
                  <c:v>5.1959999999999997</c:v>
                </c:pt>
              </c:numCache>
            </c:numRef>
          </c:xVal>
          <c:yVal>
            <c:numRef>
              <c:f>Sheet1!$C$7:$G$7</c:f>
              <c:numCache>
                <c:formatCode>General</c:formatCode>
                <c:ptCount val="5"/>
                <c:pt idx="0">
                  <c:v>1.702</c:v>
                </c:pt>
                <c:pt idx="1">
                  <c:v>1.423</c:v>
                </c:pt>
                <c:pt idx="2">
                  <c:v>1.1339999999999999</c:v>
                </c:pt>
                <c:pt idx="3">
                  <c:v>0.55800000000000005</c:v>
                </c:pt>
                <c:pt idx="4">
                  <c:v>0.48799999999999999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8C-1846-8F3F-33838BBF3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  <c:min val="5"/>
        </c:scaling>
        <c:delete val="0"/>
        <c:axPos val="b"/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  <c:min val="0.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  <c:spPr>
        <a:ln cap="rnd">
          <a:noFill/>
          <a:round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flat">
                <a:solidFill>
                  <a:schemeClr val="accent1"/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-0.16641898634884697"/>
                  <c:y val="3.3424753913604291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Sheet1!$D$44:$G$44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64</c:v>
                </c:pt>
                <c:pt idx="3">
                  <c:v>205.92250000000001</c:v>
                </c:pt>
              </c:numCache>
            </c:numRef>
          </c:xVal>
          <c:yVal>
            <c:numRef>
              <c:f>Sheet1!$D$46:$G$46</c:f>
              <c:numCache>
                <c:formatCode>General</c:formatCode>
                <c:ptCount val="4"/>
                <c:pt idx="0">
                  <c:v>7.86</c:v>
                </c:pt>
                <c:pt idx="1">
                  <c:v>29.9</c:v>
                </c:pt>
                <c:pt idx="2">
                  <c:v>118.6</c:v>
                </c:pt>
                <c:pt idx="3">
                  <c:v>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2B-8342-88E8-FDEDCFA9BB4E}"/>
            </c:ext>
          </c:extLst>
        </c:ser>
        <c:ser>
          <c:idx val="1"/>
          <c:order val="1"/>
          <c:spPr>
            <a:ln w="19050">
              <a:noFill/>
            </a:ln>
          </c:spPr>
          <c:trendline>
            <c:spPr>
              <a:ln w="12700">
                <a:solidFill>
                  <a:schemeClr val="accent2"/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-2.1452438103393517E-2"/>
                  <c:y val="-3.3169847083194939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Sheet1!$D$44:$G$44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64</c:v>
                </c:pt>
                <c:pt idx="3">
                  <c:v>205.92250000000001</c:v>
                </c:pt>
              </c:numCache>
            </c:numRef>
          </c:xVal>
          <c:yVal>
            <c:numRef>
              <c:f>Sheet1!$D$48:$G$48</c:f>
              <c:numCache>
                <c:formatCode>General</c:formatCode>
                <c:ptCount val="4"/>
                <c:pt idx="0">
                  <c:v>1.1599999999999999</c:v>
                </c:pt>
                <c:pt idx="1">
                  <c:v>4.1100000000000003</c:v>
                </c:pt>
                <c:pt idx="2">
                  <c:v>15.45</c:v>
                </c:pt>
                <c:pt idx="3">
                  <c:v>47.1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2B-8342-88E8-FDEDCFA9B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  <c:spPr>
        <a:ln cap="rnd">
          <a:noFill/>
          <a:round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flat">
                <a:solidFill>
                  <a:schemeClr val="accent1"/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-0.16641898634884697"/>
                  <c:y val="3.3424753913604291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Sheet1!$K$44:$P$44</c:f>
              <c:numCache>
                <c:formatCode>0.0000_ </c:formatCode>
                <c:ptCount val="6"/>
                <c:pt idx="0">
                  <c:v>1.1111111111111111E-3</c:v>
                </c:pt>
                <c:pt idx="1">
                  <c:v>9.765625E-4</c:v>
                </c:pt>
                <c:pt idx="2">
                  <c:v>8.6505190311418688E-4</c:v>
                </c:pt>
                <c:pt idx="3">
                  <c:v>7.716049382716049E-4</c:v>
                </c:pt>
                <c:pt idx="4">
                  <c:v>6.925207756232687E-4</c:v>
                </c:pt>
                <c:pt idx="5">
                  <c:v>6.2500000000000001E-4</c:v>
                </c:pt>
              </c:numCache>
            </c:numRef>
          </c:xVal>
          <c:yVal>
            <c:numRef>
              <c:f>Sheet1!$K$46:$P$46</c:f>
              <c:numCache>
                <c:formatCode>General</c:formatCode>
                <c:ptCount val="6"/>
                <c:pt idx="0">
                  <c:v>231</c:v>
                </c:pt>
                <c:pt idx="1">
                  <c:v>201</c:v>
                </c:pt>
                <c:pt idx="2">
                  <c:v>173.4</c:v>
                </c:pt>
                <c:pt idx="3">
                  <c:v>148.19999999999999</c:v>
                </c:pt>
                <c:pt idx="4">
                  <c:v>130.19999999999999</c:v>
                </c:pt>
                <c:pt idx="5">
                  <c:v>118.6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7D-9E44-8543-14499F20DDBA}"/>
            </c:ext>
          </c:extLst>
        </c:ser>
        <c:ser>
          <c:idx val="1"/>
          <c:order val="1"/>
          <c:spPr>
            <a:ln w="19050">
              <a:noFill/>
            </a:ln>
          </c:spPr>
          <c:trendline>
            <c:spPr>
              <a:ln w="12700">
                <a:solidFill>
                  <a:schemeClr val="accent2"/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-4.4818301446893791E-2"/>
                  <c:y val="-4.6027511908766111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Sheet1!$K$44:$P$44</c:f>
              <c:numCache>
                <c:formatCode>0.0000_ </c:formatCode>
                <c:ptCount val="6"/>
                <c:pt idx="0">
                  <c:v>1.1111111111111111E-3</c:v>
                </c:pt>
                <c:pt idx="1">
                  <c:v>9.765625E-4</c:v>
                </c:pt>
                <c:pt idx="2">
                  <c:v>8.6505190311418688E-4</c:v>
                </c:pt>
                <c:pt idx="3">
                  <c:v>7.716049382716049E-4</c:v>
                </c:pt>
                <c:pt idx="4">
                  <c:v>6.925207756232687E-4</c:v>
                </c:pt>
                <c:pt idx="5">
                  <c:v>6.2500000000000001E-4</c:v>
                </c:pt>
              </c:numCache>
            </c:numRef>
          </c:xVal>
          <c:yVal>
            <c:numRef>
              <c:f>Sheet1!$K$48:$P$48</c:f>
              <c:numCache>
                <c:formatCode>General</c:formatCode>
                <c:ptCount val="6"/>
                <c:pt idx="0">
                  <c:v>32.1</c:v>
                </c:pt>
                <c:pt idx="1">
                  <c:v>27.1</c:v>
                </c:pt>
                <c:pt idx="2">
                  <c:v>23</c:v>
                </c:pt>
                <c:pt idx="3">
                  <c:v>19.64</c:v>
                </c:pt>
                <c:pt idx="4">
                  <c:v>17.22</c:v>
                </c:pt>
                <c:pt idx="5">
                  <c:v>15.45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7D-9E44-8543-14499F20D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  <c:min val="6.0000000000000016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  <c:spPr>
        <a:ln cap="rnd">
          <a:noFill/>
          <a:round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135468</xdr:rowOff>
    </xdr:from>
    <xdr:to>
      <xdr:col>4</xdr:col>
      <xdr:colOff>775221</xdr:colOff>
      <xdr:row>18</xdr:row>
      <xdr:rowOff>87547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4DFB29A-EC98-7E48-ABAA-28BF50460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1646653</xdr:colOff>
      <xdr:row>8</xdr:row>
      <xdr:rowOff>91983</xdr:rowOff>
    </xdr:from>
    <xdr:to>
      <xdr:col>8</xdr:col>
      <xdr:colOff>516874</xdr:colOff>
      <xdr:row>18</xdr:row>
      <xdr:rowOff>43855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1924AD7-658A-6444-BF81-6556C9809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4</xdr:col>
      <xdr:colOff>775221</xdr:colOff>
      <xdr:row>41</xdr:row>
      <xdr:rowOff>493946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B6552D6-A367-C24C-A565-B3107A563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1431269</xdr:colOff>
      <xdr:row>8</xdr:row>
      <xdr:rowOff>181428</xdr:rowOff>
    </xdr:from>
    <xdr:to>
      <xdr:col>12</xdr:col>
      <xdr:colOff>291411</xdr:colOff>
      <xdr:row>18</xdr:row>
      <xdr:rowOff>131088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B88B294F-66AB-644A-B0D0-B3785E818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4</xdr:col>
      <xdr:colOff>775221</xdr:colOff>
      <xdr:row>58</xdr:row>
      <xdr:rowOff>496365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9D9E598E-3FC8-5B45-BC9D-E0ADD0940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49</xdr:row>
      <xdr:rowOff>0</xdr:rowOff>
    </xdr:from>
    <xdr:to>
      <xdr:col>11</xdr:col>
      <xdr:colOff>775221</xdr:colOff>
      <xdr:row>58</xdr:row>
      <xdr:rowOff>496365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B5CED587-CBE7-7748-98E1-D63183297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iyaowei/Documents/&#22823;&#23398;&#29289;&#29702;&#8212;&#22522;&#30784;&#23454;&#39564;I/&#30789;&#20809;&#30005;&#27744;/&#30789;&#20809;&#30005;&#27744;&#25968;&#2545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硅光电池数据"/>
    </sheetNames>
    <sheetDataSet>
      <sheetData sheetId="0">
        <row r="31">
          <cell r="C31">
            <v>0.04</v>
          </cell>
          <cell r="D31">
            <v>1</v>
          </cell>
          <cell r="E31">
            <v>1.6</v>
          </cell>
          <cell r="F31">
            <v>2</v>
          </cell>
          <cell r="G31">
            <v>2.4</v>
          </cell>
          <cell r="H31">
            <v>3</v>
          </cell>
          <cell r="I31">
            <v>3.6</v>
          </cell>
          <cell r="J31">
            <v>4</v>
          </cell>
          <cell r="K31">
            <v>4.8</v>
          </cell>
          <cell r="L31">
            <v>5.6</v>
          </cell>
        </row>
        <row r="32">
          <cell r="C32">
            <v>0.50209999999999999</v>
          </cell>
          <cell r="D32">
            <v>0.62829999999999997</v>
          </cell>
          <cell r="E32">
            <v>0.70630000000000004</v>
          </cell>
          <cell r="F32">
            <v>0.74819999999999998</v>
          </cell>
          <cell r="G32">
            <v>0.7883</v>
          </cell>
          <cell r="H32">
            <v>0.83540000000000003</v>
          </cell>
          <cell r="I32">
            <v>0.87580000000000002</v>
          </cell>
          <cell r="J32">
            <v>0.90329999999999999</v>
          </cell>
          <cell r="K32">
            <v>0.95220000000000005</v>
          </cell>
          <cell r="L32">
            <v>0.99729999999999996</v>
          </cell>
        </row>
        <row r="34">
          <cell r="C34">
            <v>6</v>
          </cell>
          <cell r="D34">
            <v>7</v>
          </cell>
          <cell r="E34">
            <v>8</v>
          </cell>
          <cell r="F34">
            <v>9</v>
          </cell>
          <cell r="G34">
            <v>10</v>
          </cell>
          <cell r="H34">
            <v>11</v>
          </cell>
          <cell r="I34">
            <v>12</v>
          </cell>
          <cell r="J34">
            <v>13</v>
          </cell>
          <cell r="K34">
            <v>14</v>
          </cell>
          <cell r="L34">
            <v>16</v>
          </cell>
        </row>
        <row r="35">
          <cell r="C35">
            <v>1.0178</v>
          </cell>
          <cell r="D35">
            <v>1.0658000000000001</v>
          </cell>
          <cell r="E35">
            <v>1.1103000000000001</v>
          </cell>
          <cell r="F35">
            <v>1.1493</v>
          </cell>
          <cell r="G35">
            <v>1.1870000000000001</v>
          </cell>
          <cell r="H35">
            <v>1.2224999999999999</v>
          </cell>
          <cell r="I35">
            <v>1.2542</v>
          </cell>
          <cell r="J35">
            <v>1.2862</v>
          </cell>
          <cell r="K35">
            <v>1.3146</v>
          </cell>
          <cell r="L35">
            <v>1.3694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1D96-35B2-E746-B2A1-2CCFA46912D7}">
  <dimension ref="B2:P48"/>
  <sheetViews>
    <sheetView tabSelected="1" topLeftCell="A2" zoomScale="50" zoomScaleNormal="119" workbookViewId="0">
      <selection activeCell="I45" sqref="I45:P48"/>
    </sheetView>
  </sheetViews>
  <sheetFormatPr baseColWidth="10" defaultColWidth="25" defaultRowHeight="43" customHeight="1"/>
  <cols>
    <col min="1" max="16384" width="25" style="2"/>
  </cols>
  <sheetData>
    <row r="2" spans="2:7" ht="43" customHeight="1">
      <c r="B2" s="1" t="s">
        <v>7</v>
      </c>
      <c r="C2" s="1"/>
      <c r="D2" s="1"/>
      <c r="E2" s="1"/>
      <c r="F2" s="1"/>
      <c r="G2" s="1"/>
    </row>
    <row r="3" spans="2:7" ht="43" customHeight="1">
      <c r="B3" s="3" t="s">
        <v>8</v>
      </c>
      <c r="C3" s="4">
        <v>365</v>
      </c>
      <c r="D3" s="4">
        <v>404.7</v>
      </c>
      <c r="E3" s="4">
        <v>435.8</v>
      </c>
      <c r="F3" s="4">
        <v>546.1</v>
      </c>
      <c r="G3" s="4">
        <v>577</v>
      </c>
    </row>
    <row r="4" spans="2:7" ht="43" customHeight="1">
      <c r="B4" s="3" t="s">
        <v>9</v>
      </c>
      <c r="C4" s="5">
        <v>8.2140000000000004</v>
      </c>
      <c r="D4" s="5">
        <v>7.4080000000000004</v>
      </c>
      <c r="E4" s="5">
        <v>6.8789999999999996</v>
      </c>
      <c r="F4" s="5">
        <v>5.49</v>
      </c>
      <c r="G4" s="5">
        <v>5.1959999999999997</v>
      </c>
    </row>
    <row r="5" spans="2:7" ht="43" customHeight="1">
      <c r="B5" s="3" t="s">
        <v>10</v>
      </c>
      <c r="C5" s="5">
        <v>1.744</v>
      </c>
      <c r="D5" s="5">
        <v>1.4350000000000001</v>
      </c>
      <c r="E5" s="5">
        <v>1.1120000000000001</v>
      </c>
      <c r="F5" s="5">
        <v>0.55800000000000005</v>
      </c>
      <c r="G5" s="5">
        <v>0.45400000000000001</v>
      </c>
    </row>
    <row r="6" spans="2:7" ht="43" customHeight="1">
      <c r="B6" s="3" t="s">
        <v>11</v>
      </c>
      <c r="C6" s="5">
        <v>1.746</v>
      </c>
      <c r="D6" s="5">
        <v>1.4359999999999999</v>
      </c>
      <c r="E6" s="5">
        <v>1.1140000000000001</v>
      </c>
      <c r="F6" s="5">
        <v>0.55900000000000005</v>
      </c>
      <c r="G6" s="5">
        <v>0.45400000000000001</v>
      </c>
    </row>
    <row r="7" spans="2:7" ht="43" customHeight="1">
      <c r="C7" s="2">
        <v>1.702</v>
      </c>
      <c r="D7" s="2">
        <v>1.423</v>
      </c>
      <c r="E7" s="2">
        <v>1.1339999999999999</v>
      </c>
      <c r="F7" s="2">
        <v>0.55800000000000005</v>
      </c>
      <c r="G7" s="2">
        <v>0.48799999999999999</v>
      </c>
    </row>
    <row r="21" spans="2:13" ht="43" customHeight="1">
      <c r="B21" s="6" t="s">
        <v>3</v>
      </c>
      <c r="C21" s="2" t="s">
        <v>0</v>
      </c>
      <c r="D21" s="2">
        <v>-1</v>
      </c>
      <c r="E21" s="2">
        <v>-0.9</v>
      </c>
      <c r="F21" s="2">
        <v>-0.8</v>
      </c>
      <c r="G21" s="2">
        <v>-0.7</v>
      </c>
      <c r="H21" s="2">
        <v>-0.6</v>
      </c>
      <c r="I21" s="2">
        <v>-0.5</v>
      </c>
      <c r="J21" s="2">
        <v>-0.4</v>
      </c>
      <c r="K21" s="2">
        <v>-0.3</v>
      </c>
      <c r="L21" s="2">
        <v>-0.2</v>
      </c>
      <c r="M21" s="2">
        <v>-0.1</v>
      </c>
    </row>
    <row r="22" spans="2:13" ht="43" customHeight="1">
      <c r="B22" s="7"/>
      <c r="C22" s="2" t="s">
        <v>1</v>
      </c>
      <c r="D22" s="2">
        <v>-33.200000000000003</v>
      </c>
      <c r="E22" s="2">
        <v>-32.5</v>
      </c>
      <c r="F22" s="2">
        <v>-31.8</v>
      </c>
      <c r="G22" s="2">
        <v>-31</v>
      </c>
      <c r="H22" s="2">
        <v>-28.1</v>
      </c>
      <c r="I22" s="2">
        <v>-20.100000000000001</v>
      </c>
      <c r="J22" s="2">
        <v>9.5</v>
      </c>
      <c r="K22" s="2">
        <v>88.4</v>
      </c>
      <c r="L22" s="2">
        <v>218</v>
      </c>
      <c r="M22" s="2">
        <v>376</v>
      </c>
    </row>
    <row r="23" spans="2:13" ht="43" customHeight="1">
      <c r="B23" s="6" t="s">
        <v>2</v>
      </c>
      <c r="C23" s="2" t="s">
        <v>0</v>
      </c>
      <c r="D23" s="2">
        <v>-1.2</v>
      </c>
      <c r="E23" s="2">
        <v>-1.1000000000000001</v>
      </c>
      <c r="F23" s="2">
        <v>-1</v>
      </c>
      <c r="G23" s="2">
        <v>-0.9</v>
      </c>
      <c r="H23" s="2">
        <v>-0.80000000000000104</v>
      </c>
      <c r="I23" s="2">
        <v>-0.70000000000000095</v>
      </c>
      <c r="J23" s="2">
        <v>-0.60000000000000098</v>
      </c>
      <c r="K23" s="2">
        <v>-0.500000000000001</v>
      </c>
      <c r="L23" s="2">
        <v>-0.40000000000000102</v>
      </c>
      <c r="M23" s="2">
        <v>-0.30000000000000099</v>
      </c>
    </row>
    <row r="24" spans="2:13" ht="43" customHeight="1">
      <c r="B24" s="7"/>
      <c r="C24" s="2" t="s">
        <v>1</v>
      </c>
      <c r="D24" s="2">
        <v>-43</v>
      </c>
      <c r="E24" s="2">
        <v>-42</v>
      </c>
      <c r="F24" s="2">
        <v>-40.9</v>
      </c>
      <c r="G24" s="2">
        <v>-39.9</v>
      </c>
      <c r="H24" s="2">
        <v>-37.6</v>
      </c>
      <c r="I24" s="2">
        <v>-33.5</v>
      </c>
      <c r="J24" s="2">
        <v>-22.4</v>
      </c>
      <c r="K24" s="2">
        <v>10</v>
      </c>
      <c r="L24" s="2">
        <v>93</v>
      </c>
      <c r="M24" s="2">
        <v>229</v>
      </c>
    </row>
    <row r="25" spans="2:13" ht="43" customHeight="1">
      <c r="B25" s="6" t="s">
        <v>4</v>
      </c>
      <c r="C25" s="2" t="s">
        <v>0</v>
      </c>
      <c r="D25" s="2">
        <v>-1.7</v>
      </c>
      <c r="E25" s="2">
        <v>-1.6</v>
      </c>
      <c r="F25" s="2">
        <v>-1.5</v>
      </c>
      <c r="G25" s="2">
        <v>-1.4</v>
      </c>
      <c r="H25" s="2">
        <v>-1.3</v>
      </c>
      <c r="I25" s="2">
        <v>-1.2</v>
      </c>
      <c r="J25" s="2">
        <v>-1.1000000000000001</v>
      </c>
      <c r="K25" s="2">
        <v>-1</v>
      </c>
      <c r="L25" s="2">
        <v>-0.90000000000000102</v>
      </c>
      <c r="M25" s="2">
        <v>-0.80000000000000104</v>
      </c>
    </row>
    <row r="26" spans="2:13" ht="43" customHeight="1">
      <c r="B26" s="7"/>
      <c r="C26" s="2" t="s">
        <v>1</v>
      </c>
      <c r="D26" s="2">
        <v>-149.69999999999999</v>
      </c>
      <c r="E26" s="2">
        <v>-141.9</v>
      </c>
      <c r="F26" s="2">
        <v>-133.5</v>
      </c>
      <c r="G26" s="2">
        <v>-120.4</v>
      </c>
      <c r="H26" s="2">
        <v>-102.7</v>
      </c>
      <c r="I26" s="2">
        <v>-75</v>
      </c>
      <c r="J26" s="2">
        <v>-11.7</v>
      </c>
      <c r="K26" s="2">
        <v>113.2</v>
      </c>
      <c r="L26" s="2">
        <v>308</v>
      </c>
      <c r="M26" s="2">
        <v>648</v>
      </c>
    </row>
    <row r="27" spans="2:13" ht="43" customHeight="1">
      <c r="B27" s="6" t="s">
        <v>5</v>
      </c>
      <c r="C27" s="2" t="s">
        <v>0</v>
      </c>
      <c r="D27" s="2">
        <v>-1.9</v>
      </c>
      <c r="E27" s="2">
        <v>-1.8</v>
      </c>
      <c r="F27" s="2">
        <v>-1.7</v>
      </c>
      <c r="G27" s="2">
        <v>-1.6</v>
      </c>
      <c r="H27" s="2">
        <v>-1.5</v>
      </c>
      <c r="I27" s="2">
        <v>-1.4</v>
      </c>
      <c r="J27" s="2">
        <v>-1.3</v>
      </c>
      <c r="K27" s="2">
        <v>-1.2</v>
      </c>
      <c r="L27" s="2">
        <v>-1.1000000000000001</v>
      </c>
      <c r="M27" s="2">
        <v>-1</v>
      </c>
    </row>
    <row r="28" spans="2:13" ht="43" customHeight="1">
      <c r="B28" s="7"/>
      <c r="C28" s="2" t="s">
        <v>1</v>
      </c>
      <c r="D28" s="2">
        <v>-73.7</v>
      </c>
      <c r="E28" s="2">
        <v>-66.3</v>
      </c>
      <c r="F28" s="2">
        <v>-58.6</v>
      </c>
      <c r="G28" s="2">
        <v>-45.3</v>
      </c>
      <c r="H28" s="2">
        <v>-25.7</v>
      </c>
      <c r="I28" s="2">
        <v>4</v>
      </c>
      <c r="J28" s="2">
        <v>51.5</v>
      </c>
      <c r="K28" s="2">
        <v>125.2</v>
      </c>
      <c r="L28" s="2">
        <v>239</v>
      </c>
      <c r="M28" s="2">
        <v>423</v>
      </c>
    </row>
    <row r="29" spans="2:13" ht="43" customHeight="1">
      <c r="B29" s="6" t="s">
        <v>6</v>
      </c>
      <c r="C29" s="2" t="s">
        <v>0</v>
      </c>
      <c r="D29" s="2">
        <v>-2</v>
      </c>
      <c r="E29" s="2">
        <v>-1.95</v>
      </c>
      <c r="F29" s="2">
        <v>-1.9</v>
      </c>
      <c r="G29" s="2">
        <v>-1.85</v>
      </c>
      <c r="H29" s="2">
        <v>-1.8</v>
      </c>
      <c r="I29" s="2">
        <v>-1.75</v>
      </c>
      <c r="J29" s="2">
        <v>-1.7</v>
      </c>
      <c r="K29" s="2">
        <v>-1.65</v>
      </c>
      <c r="L29" s="2">
        <v>-1.6</v>
      </c>
      <c r="M29" s="2">
        <v>-1.55</v>
      </c>
    </row>
    <row r="30" spans="2:13" ht="43" customHeight="1">
      <c r="B30" s="7"/>
      <c r="C30" s="2" t="s">
        <v>1</v>
      </c>
      <c r="D30" s="2">
        <v>-57.5</v>
      </c>
      <c r="E30" s="2">
        <v>-50.9</v>
      </c>
      <c r="F30" s="2">
        <v>-43.4</v>
      </c>
      <c r="G30" s="2">
        <v>-35.700000000000003</v>
      </c>
      <c r="H30" s="2">
        <v>-25.3</v>
      </c>
      <c r="I30" s="2">
        <v>-11.5</v>
      </c>
      <c r="J30" s="2">
        <v>9.5</v>
      </c>
      <c r="K30" s="2">
        <v>41</v>
      </c>
      <c r="L30" s="2">
        <v>87.1</v>
      </c>
      <c r="M30" s="2">
        <v>147.6</v>
      </c>
    </row>
    <row r="44" spans="2:16" ht="43" customHeight="1">
      <c r="D44" s="2">
        <v>4</v>
      </c>
      <c r="E44" s="2">
        <v>16</v>
      </c>
      <c r="F44" s="2">
        <v>64</v>
      </c>
      <c r="G44" s="2">
        <v>205.92250000000001</v>
      </c>
      <c r="K44" s="8">
        <f>1/(K45*K45)</f>
        <v>1.1111111111111111E-3</v>
      </c>
      <c r="L44" s="8">
        <f t="shared" ref="L44:P44" si="0">1/(L45*L45)</f>
        <v>9.765625E-4</v>
      </c>
      <c r="M44" s="8">
        <f t="shared" si="0"/>
        <v>8.6505190311418688E-4</v>
      </c>
      <c r="N44" s="8">
        <f t="shared" si="0"/>
        <v>7.716049382716049E-4</v>
      </c>
      <c r="O44" s="8">
        <f t="shared" si="0"/>
        <v>6.925207756232687E-4</v>
      </c>
      <c r="P44" s="8">
        <f t="shared" si="0"/>
        <v>6.2500000000000001E-4</v>
      </c>
    </row>
    <row r="45" spans="2:16" ht="43" customHeight="1">
      <c r="B45" s="7" t="s">
        <v>4</v>
      </c>
      <c r="C45" s="2" t="s">
        <v>12</v>
      </c>
      <c r="D45" s="2">
        <v>2</v>
      </c>
      <c r="E45" s="2">
        <v>4</v>
      </c>
      <c r="F45" s="2">
        <v>8</v>
      </c>
      <c r="G45" s="2">
        <v>14.35</v>
      </c>
      <c r="I45" s="7" t="s">
        <v>4</v>
      </c>
      <c r="J45" s="2" t="s">
        <v>14</v>
      </c>
      <c r="K45" s="2">
        <v>30</v>
      </c>
      <c r="L45" s="2">
        <v>32</v>
      </c>
      <c r="M45" s="2">
        <v>34</v>
      </c>
      <c r="N45" s="2">
        <v>36</v>
      </c>
      <c r="O45" s="2">
        <v>38</v>
      </c>
      <c r="P45" s="2">
        <v>40</v>
      </c>
    </row>
    <row r="46" spans="2:16" ht="43" customHeight="1">
      <c r="B46" s="7"/>
      <c r="C46" s="2" t="s">
        <v>13</v>
      </c>
      <c r="D46" s="2">
        <v>7.86</v>
      </c>
      <c r="E46" s="2">
        <v>29.9</v>
      </c>
      <c r="F46" s="2">
        <v>118.6</v>
      </c>
      <c r="G46" s="2">
        <v>401</v>
      </c>
      <c r="I46" s="7"/>
      <c r="J46" s="2" t="s">
        <v>13</v>
      </c>
      <c r="K46" s="2">
        <v>231</v>
      </c>
      <c r="L46" s="2">
        <v>201</v>
      </c>
      <c r="M46" s="2">
        <v>173.4</v>
      </c>
      <c r="N46" s="2">
        <v>148.19999999999999</v>
      </c>
      <c r="O46" s="2">
        <v>130.19999999999999</v>
      </c>
      <c r="P46" s="2">
        <v>118.6</v>
      </c>
    </row>
    <row r="47" spans="2:16" ht="43" customHeight="1">
      <c r="B47" s="7" t="s">
        <v>2</v>
      </c>
      <c r="C47" s="2" t="s">
        <v>12</v>
      </c>
      <c r="D47" s="2">
        <v>2</v>
      </c>
      <c r="E47" s="2">
        <v>4</v>
      </c>
      <c r="F47" s="2">
        <v>8</v>
      </c>
      <c r="G47" s="2">
        <v>14.35</v>
      </c>
      <c r="I47" s="7" t="s">
        <v>2</v>
      </c>
      <c r="J47" s="2" t="s">
        <v>14</v>
      </c>
      <c r="K47" s="2">
        <v>30</v>
      </c>
      <c r="L47" s="2">
        <v>32</v>
      </c>
      <c r="M47" s="2">
        <v>34</v>
      </c>
      <c r="N47" s="2">
        <v>36</v>
      </c>
      <c r="O47" s="2">
        <v>38</v>
      </c>
      <c r="P47" s="2">
        <v>40</v>
      </c>
    </row>
    <row r="48" spans="2:16" ht="43" customHeight="1">
      <c r="B48" s="7"/>
      <c r="C48" s="2" t="s">
        <v>13</v>
      </c>
      <c r="D48" s="2">
        <v>1.1599999999999999</v>
      </c>
      <c r="E48" s="2">
        <v>4.1100000000000003</v>
      </c>
      <c r="F48" s="2">
        <v>15.45</v>
      </c>
      <c r="G48" s="2">
        <v>47.1</v>
      </c>
      <c r="I48" s="7"/>
      <c r="J48" s="2" t="s">
        <v>13</v>
      </c>
      <c r="K48" s="2">
        <v>32.1</v>
      </c>
      <c r="L48" s="2">
        <v>27.1</v>
      </c>
      <c r="M48" s="2">
        <v>23</v>
      </c>
      <c r="N48" s="2">
        <v>19.64</v>
      </c>
      <c r="O48" s="2">
        <v>17.22</v>
      </c>
      <c r="P48" s="2">
        <v>15.45</v>
      </c>
    </row>
  </sheetData>
  <mergeCells count="10">
    <mergeCell ref="B45:B46"/>
    <mergeCell ref="B47:B48"/>
    <mergeCell ref="I45:I46"/>
    <mergeCell ref="I47:I48"/>
    <mergeCell ref="B2:G2"/>
    <mergeCell ref="B21:B22"/>
    <mergeCell ref="B23:B24"/>
    <mergeCell ref="B25:B26"/>
    <mergeCell ref="B27:B28"/>
    <mergeCell ref="B29:B3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2022-05-16T14:49:26Z</dcterms:created>
  <dcterms:modified xsi:type="dcterms:W3CDTF">2022-05-17T08:22:23Z</dcterms:modified>
</cp:coreProperties>
</file>