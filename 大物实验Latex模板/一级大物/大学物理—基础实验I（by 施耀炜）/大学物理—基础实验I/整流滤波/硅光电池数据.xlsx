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yaowei/Desktop/"/>
    </mc:Choice>
  </mc:AlternateContent>
  <xr:revisionPtr revIDLastSave="0" documentId="13_ncr:1_{BA00B767-27E8-0545-9DC6-B1337CD33C3F}" xr6:coauthVersionLast="47" xr6:coauthVersionMax="47" xr10:uidLastSave="{00000000-0000-0000-0000-000000000000}"/>
  <bookViews>
    <workbookView xWindow="0" yWindow="760" windowWidth="30240" windowHeight="18880" xr2:uid="{2F3D2DC7-5A40-4F4C-ACCD-7152D62DCF65}"/>
  </bookViews>
  <sheets>
    <sheet name="硅光电池数据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55" i="1" l="1"/>
  <c r="E55" i="1"/>
  <c r="F55" i="1"/>
  <c r="G55" i="1"/>
  <c r="H55" i="1"/>
  <c r="I55" i="1"/>
  <c r="J55" i="1"/>
  <c r="D53" i="1"/>
  <c r="E53" i="1"/>
  <c r="F53" i="1"/>
  <c r="G53" i="1"/>
  <c r="H53" i="1"/>
  <c r="I53" i="1"/>
  <c r="J53" i="1"/>
  <c r="D49" i="1"/>
  <c r="E49" i="1"/>
  <c r="F49" i="1"/>
  <c r="G49" i="1"/>
  <c r="H49" i="1"/>
  <c r="I49" i="1"/>
  <c r="J49" i="1"/>
  <c r="E43" i="1"/>
  <c r="F43" i="1"/>
  <c r="G43" i="1"/>
  <c r="H43" i="1"/>
  <c r="I43" i="1"/>
  <c r="D43" i="1"/>
  <c r="C43" i="1"/>
  <c r="I47" i="1"/>
  <c r="H47" i="1"/>
  <c r="G47" i="1"/>
  <c r="F47" i="1"/>
  <c r="E47" i="1"/>
  <c r="D47" i="1"/>
  <c r="D40" i="1"/>
  <c r="E40" i="1"/>
  <c r="F40" i="1"/>
  <c r="G40" i="1"/>
  <c r="H40" i="1"/>
  <c r="C40" i="1"/>
  <c r="E17" i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5" i="1"/>
  <c r="N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5" i="1"/>
  <c r="K5" i="1" s="1"/>
  <c r="G25" i="1"/>
  <c r="H25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6" i="1"/>
  <c r="H6" i="1" s="1"/>
  <c r="G7" i="1"/>
  <c r="H7" i="1" s="1"/>
  <c r="G8" i="1"/>
  <c r="H8" i="1" s="1"/>
  <c r="G9" i="1"/>
  <c r="H9" i="1" s="1"/>
  <c r="G10" i="1"/>
  <c r="H10" i="1" s="1"/>
  <c r="G5" i="1"/>
  <c r="H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5" i="1"/>
  <c r="E5" i="1" s="1"/>
</calcChain>
</file>

<file path=xl/sharedStrings.xml><?xml version="1.0" encoding="utf-8"?>
<sst xmlns="http://schemas.openxmlformats.org/spreadsheetml/2006/main" count="51" uniqueCount="20">
  <si>
    <r>
      <t>I</t>
    </r>
    <r>
      <rPr>
        <b/>
        <sz val="12"/>
        <color theme="1"/>
        <rFont val="Times New Roman"/>
        <family val="1"/>
      </rPr>
      <t>/mA</t>
    </r>
    <phoneticPr fontId="2" type="noConversion"/>
  </si>
  <si>
    <r>
      <t>U</t>
    </r>
    <r>
      <rPr>
        <b/>
        <sz val="12"/>
        <color theme="1"/>
        <rFont val="Times New Roman"/>
        <family val="1"/>
      </rPr>
      <t>/V</t>
    </r>
    <phoneticPr fontId="2" type="noConversion"/>
  </si>
  <si>
    <t>R=10000Ω</t>
    <phoneticPr fontId="2" type="noConversion"/>
  </si>
  <si>
    <t>R=5000Ω</t>
    <phoneticPr fontId="2" type="noConversion"/>
  </si>
  <si>
    <t>R=1000Ω</t>
    <phoneticPr fontId="2" type="noConversion"/>
  </si>
  <si>
    <t>R=100Ω</t>
    <phoneticPr fontId="2" type="noConversion"/>
  </si>
  <si>
    <r>
      <rPr>
        <b/>
        <i/>
        <sz val="12"/>
        <color theme="1"/>
        <rFont val="Times New Roman"/>
        <family val="1"/>
      </rPr>
      <t>L</t>
    </r>
    <r>
      <rPr>
        <b/>
        <sz val="12"/>
        <color theme="1"/>
        <rFont val="Times New Roman"/>
        <family val="1"/>
      </rPr>
      <t>/lx</t>
    </r>
    <phoneticPr fontId="2" type="noConversion"/>
  </si>
  <si>
    <r>
      <rPr>
        <b/>
        <i/>
        <sz val="12"/>
        <color theme="1"/>
        <rFont val="Times New Roman"/>
        <family val="1"/>
      </rPr>
      <t>d</t>
    </r>
    <r>
      <rPr>
        <b/>
        <sz val="12"/>
        <color theme="1"/>
        <rFont val="Times New Roman"/>
        <family val="1"/>
      </rPr>
      <t>/cm</t>
    </r>
    <phoneticPr fontId="2" type="noConversion"/>
  </si>
  <si>
    <r>
      <t>I</t>
    </r>
    <r>
      <rPr>
        <b/>
        <i/>
        <vertAlign val="subscript"/>
        <sz val="12"/>
        <color theme="1"/>
        <rFont val="Times New Roman"/>
        <family val="1"/>
      </rPr>
      <t>SC</t>
    </r>
    <r>
      <rPr>
        <b/>
        <sz val="12"/>
        <color theme="1"/>
        <rFont val="Times New Roman"/>
        <family val="1"/>
      </rPr>
      <t>/mA</t>
    </r>
    <phoneticPr fontId="2" type="noConversion"/>
  </si>
  <si>
    <r>
      <t>U</t>
    </r>
    <r>
      <rPr>
        <b/>
        <i/>
        <vertAlign val="subscript"/>
        <sz val="12"/>
        <color theme="1"/>
        <rFont val="Times New Roman"/>
        <family val="1"/>
      </rPr>
      <t>OC</t>
    </r>
    <r>
      <rPr>
        <b/>
        <sz val="12"/>
        <color theme="1"/>
        <rFont val="Times New Roman"/>
        <family val="1"/>
      </rPr>
      <t>/V</t>
    </r>
    <phoneticPr fontId="2" type="noConversion"/>
  </si>
  <si>
    <t>No.</t>
    <phoneticPr fontId="2" type="noConversion"/>
  </si>
  <si>
    <t>∞</t>
    <phoneticPr fontId="2" type="noConversion"/>
  </si>
  <si>
    <r>
      <t>P</t>
    </r>
    <r>
      <rPr>
        <b/>
        <sz val="12"/>
        <color theme="1"/>
        <rFont val="Times New Roman"/>
        <family val="1"/>
      </rPr>
      <t>/mW</t>
    </r>
    <phoneticPr fontId="2" type="noConversion"/>
  </si>
  <si>
    <r>
      <t>R</t>
    </r>
    <r>
      <rPr>
        <b/>
        <i/>
        <vertAlign val="subscript"/>
        <sz val="12"/>
        <color theme="1"/>
        <rFont val="Times New Roman"/>
        <family val="1"/>
      </rPr>
      <t>L</t>
    </r>
    <r>
      <rPr>
        <b/>
        <sz val="12"/>
        <color theme="1"/>
        <rFont val="Times New Roman"/>
        <family val="1"/>
      </rPr>
      <t>/Ω</t>
    </r>
    <phoneticPr fontId="2" type="noConversion"/>
  </si>
  <si>
    <r>
      <rPr>
        <b/>
        <i/>
        <sz val="12"/>
        <color theme="1"/>
        <rFont val="Times New Roman"/>
        <family val="1"/>
      </rPr>
      <t>d</t>
    </r>
    <r>
      <rPr>
        <b/>
        <sz val="12"/>
        <color theme="1"/>
        <rFont val="Times New Roman"/>
        <family val="1"/>
      </rPr>
      <t xml:space="preserve">=50cm  </t>
    </r>
    <r>
      <rPr>
        <b/>
        <i/>
        <sz val="12"/>
        <color theme="1"/>
        <rFont val="Times New Roman"/>
        <family val="1"/>
      </rPr>
      <t>L</t>
    </r>
    <r>
      <rPr>
        <b/>
        <sz val="12"/>
        <color theme="1"/>
        <rFont val="Times New Roman"/>
        <family val="1"/>
      </rPr>
      <t>=40lx</t>
    </r>
    <phoneticPr fontId="2" type="noConversion"/>
  </si>
  <si>
    <r>
      <rPr>
        <b/>
        <i/>
        <sz val="12"/>
        <color theme="1"/>
        <rFont val="Times New Roman"/>
        <family val="1"/>
      </rPr>
      <t>d</t>
    </r>
    <r>
      <rPr>
        <b/>
        <sz val="12"/>
        <color theme="1"/>
        <rFont val="Times New Roman"/>
        <family val="1"/>
      </rPr>
      <t xml:space="preserve">=40cm  </t>
    </r>
    <r>
      <rPr>
        <b/>
        <i/>
        <sz val="12"/>
        <color theme="1"/>
        <rFont val="Times New Roman"/>
        <family val="1"/>
      </rPr>
      <t>L</t>
    </r>
    <r>
      <rPr>
        <b/>
        <sz val="12"/>
        <color theme="1"/>
        <rFont val="Times New Roman"/>
        <family val="1"/>
      </rPr>
      <t>=62.5lx</t>
    </r>
    <phoneticPr fontId="2" type="noConversion"/>
  </si>
  <si>
    <r>
      <rPr>
        <b/>
        <i/>
        <sz val="12"/>
        <color theme="1"/>
        <rFont val="Times New Roman"/>
        <family val="1"/>
      </rPr>
      <t>d</t>
    </r>
    <r>
      <rPr>
        <b/>
        <sz val="12"/>
        <color theme="1"/>
        <rFont val="Times New Roman"/>
        <family val="1"/>
      </rPr>
      <t xml:space="preserve">=30cm  </t>
    </r>
    <r>
      <rPr>
        <b/>
        <i/>
        <sz val="12"/>
        <color theme="1"/>
        <rFont val="Times New Roman"/>
        <family val="1"/>
      </rPr>
      <t>L</t>
    </r>
    <r>
      <rPr>
        <b/>
        <sz val="12"/>
        <color theme="1"/>
        <rFont val="Times New Roman"/>
        <family val="1"/>
      </rPr>
      <t>=111.1lx</t>
    </r>
    <phoneticPr fontId="2" type="noConversion"/>
  </si>
  <si>
    <r>
      <rPr>
        <b/>
        <i/>
        <sz val="12"/>
        <color theme="1"/>
        <rFont val="Times New Roman"/>
        <family val="1"/>
      </rPr>
      <t>d</t>
    </r>
    <r>
      <rPr>
        <b/>
        <sz val="12"/>
        <color theme="1"/>
        <rFont val="Times New Roman"/>
        <family val="1"/>
      </rPr>
      <t xml:space="preserve">=20cm </t>
    </r>
    <r>
      <rPr>
        <b/>
        <i/>
        <sz val="12"/>
        <color theme="1"/>
        <rFont val="Times New Roman"/>
        <family val="1"/>
      </rPr>
      <t xml:space="preserve"> L</t>
    </r>
    <r>
      <rPr>
        <b/>
        <sz val="12"/>
        <color theme="1"/>
        <rFont val="Times New Roman"/>
        <family val="1"/>
      </rPr>
      <t>=250lx</t>
    </r>
    <phoneticPr fontId="2" type="noConversion"/>
  </si>
  <si>
    <t>/</t>
    <phoneticPr fontId="2" type="noConversion"/>
  </si>
  <si>
    <r>
      <t>U</t>
    </r>
    <r>
      <rPr>
        <b/>
        <i/>
        <vertAlign val="subscript"/>
        <sz val="12"/>
        <color theme="1"/>
        <rFont val="Times New Roman"/>
        <family val="1"/>
      </rPr>
      <t>50Ω</t>
    </r>
    <r>
      <rPr>
        <b/>
        <sz val="12"/>
        <color theme="1"/>
        <rFont val="Times New Roman"/>
        <family val="1"/>
      </rPr>
      <t>/mA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</si>
</sst>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_ "/>
    <numFmt numFmtId="177" formatCode="0.00000_ "/>
    <numFmt numFmtId="178" formatCode="0.00_ "/>
    <numFmt numFmtId="179" formatCode="0.0_ "/>
    <numFmt numFmtId="180" formatCode="0.0000_);[Red]\(0.0000\)"/>
  </numFmts>
  <fonts count="6">
    <font>
      <sz val="12"/>
      <color theme="1"/>
      <name val="等线"/>
      <family val="2"/>
      <charset val="134"/>
      <scheme val="minor"/>
    </font>
    <font>
      <sz val="12"/>
      <color theme="1"/>
      <name val="Times New Roman"/>
      <family val="1"/>
    </font>
    <font>
      <sz val="9"/>
      <name val="等线"/>
      <family val="2"/>
      <charset val="134"/>
      <scheme val="minor"/>
    </font>
    <font>
      <b/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vertAlign val="sub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79" fontId="1" fillId="0" borderId="4" xfId="0" applyNumberFormat="1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77" fontId="1" fillId="0" borderId="4" xfId="0" applyNumberFormat="1" applyFont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硅光电池数据!$C$5:$C$25</c:f>
              <c:numCache>
                <c:formatCode>0.0000_ </c:formatCode>
                <c:ptCount val="21"/>
                <c:pt idx="0" formatCode="General">
                  <c:v>1.6129999999999999E-2</c:v>
                </c:pt>
                <c:pt idx="1">
                  <c:v>6.4299999999999996E-2</c:v>
                </c:pt>
                <c:pt idx="2">
                  <c:v>9.5600000000000004E-2</c:v>
                </c:pt>
                <c:pt idx="3">
                  <c:v>0.126</c:v>
                </c:pt>
                <c:pt idx="4">
                  <c:v>0.15490000000000001</c:v>
                </c:pt>
                <c:pt idx="5">
                  <c:v>0.18149999999999999</c:v>
                </c:pt>
                <c:pt idx="6">
                  <c:v>0.2056</c:v>
                </c:pt>
                <c:pt idx="7">
                  <c:v>0.22650000000000001</c:v>
                </c:pt>
                <c:pt idx="8">
                  <c:v>0.24460000000000001</c:v>
                </c:pt>
                <c:pt idx="9">
                  <c:v>0.25990000000000002</c:v>
                </c:pt>
                <c:pt idx="10">
                  <c:v>0.33579999999999999</c:v>
                </c:pt>
                <c:pt idx="11">
                  <c:v>0.36149999999999999</c:v>
                </c:pt>
                <c:pt idx="12">
                  <c:v>0.37419999999999998</c:v>
                </c:pt>
                <c:pt idx="13">
                  <c:v>0.38169999999999998</c:v>
                </c:pt>
                <c:pt idx="14">
                  <c:v>0.38669999999999999</c:v>
                </c:pt>
                <c:pt idx="15">
                  <c:v>0.39019999999999999</c:v>
                </c:pt>
                <c:pt idx="16">
                  <c:v>0.39269999999999999</c:v>
                </c:pt>
                <c:pt idx="17">
                  <c:v>0.39479999999999998</c:v>
                </c:pt>
                <c:pt idx="18">
                  <c:v>0.39639999999999997</c:v>
                </c:pt>
                <c:pt idx="19">
                  <c:v>0.40129999999999999</c:v>
                </c:pt>
                <c:pt idx="20">
                  <c:v>0.4037</c:v>
                </c:pt>
              </c:numCache>
            </c:numRef>
          </c:xVal>
          <c:yVal>
            <c:numRef>
              <c:f>硅光电池数据!$D$5:$D$25</c:f>
              <c:numCache>
                <c:formatCode>0.0000_ </c:formatCode>
                <c:ptCount val="21"/>
                <c:pt idx="0">
                  <c:v>0.3226</c:v>
                </c:pt>
                <c:pt idx="1">
                  <c:v>0.32150000000000001</c:v>
                </c:pt>
                <c:pt idx="2">
                  <c:v>0.31866666666666671</c:v>
                </c:pt>
                <c:pt idx="3">
                  <c:v>0.315</c:v>
                </c:pt>
                <c:pt idx="4">
                  <c:v>0.30980000000000002</c:v>
                </c:pt>
                <c:pt idx="5">
                  <c:v>0.30249999999999999</c:v>
                </c:pt>
                <c:pt idx="6">
                  <c:v>0.29371428571428571</c:v>
                </c:pt>
                <c:pt idx="7">
                  <c:v>0.28312500000000002</c:v>
                </c:pt>
                <c:pt idx="8">
                  <c:v>0.27177777777777778</c:v>
                </c:pt>
                <c:pt idx="9">
                  <c:v>0.25990000000000002</c:v>
                </c:pt>
                <c:pt idx="10">
                  <c:v>0.16789999999999999</c:v>
                </c:pt>
                <c:pt idx="11">
                  <c:v>0.1205</c:v>
                </c:pt>
                <c:pt idx="12">
                  <c:v>9.3549999999999994E-2</c:v>
                </c:pt>
                <c:pt idx="13">
                  <c:v>7.6339999999999991E-2</c:v>
                </c:pt>
                <c:pt idx="14">
                  <c:v>6.4449999999999993E-2</c:v>
                </c:pt>
                <c:pt idx="15">
                  <c:v>5.5742857142857143E-2</c:v>
                </c:pt>
                <c:pt idx="16">
                  <c:v>4.9087499999999999E-2</c:v>
                </c:pt>
                <c:pt idx="17">
                  <c:v>4.3866666666666665E-2</c:v>
                </c:pt>
                <c:pt idx="18">
                  <c:v>3.9639999999999995E-2</c:v>
                </c:pt>
                <c:pt idx="19">
                  <c:v>2.6753333333333334E-2</c:v>
                </c:pt>
                <c:pt idx="20">
                  <c:v>2.0184999999999998E-2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5064-CC44-A5BF-EDB0290588D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xVal>
            <c:numRef>
              <c:f>硅光电池数据!$F$5:$F$25</c:f>
              <c:numCache>
                <c:formatCode>0.0000_ </c:formatCode>
                <c:ptCount val="21"/>
                <c:pt idx="0" formatCode="General">
                  <c:v>7.11E-3</c:v>
                </c:pt>
                <c:pt idx="1">
                  <c:v>2.8400000000000002E-2</c:v>
                </c:pt>
                <c:pt idx="2">
                  <c:v>4.2599999999999999E-2</c:v>
                </c:pt>
                <c:pt idx="3">
                  <c:v>5.67E-2</c:v>
                </c:pt>
                <c:pt idx="4">
                  <c:v>7.0699999999999999E-2</c:v>
                </c:pt>
                <c:pt idx="5">
                  <c:v>8.4699999999999998E-2</c:v>
                </c:pt>
                <c:pt idx="6">
                  <c:v>9.8500000000000004E-2</c:v>
                </c:pt>
                <c:pt idx="7">
                  <c:v>0.1123</c:v>
                </c:pt>
                <c:pt idx="8">
                  <c:v>0.12590000000000001</c:v>
                </c:pt>
                <c:pt idx="9">
                  <c:v>0.1394</c:v>
                </c:pt>
                <c:pt idx="10">
                  <c:v>0.25469999999999998</c:v>
                </c:pt>
                <c:pt idx="11">
                  <c:v>0.309</c:v>
                </c:pt>
                <c:pt idx="12">
                  <c:v>0.33229999999999998</c:v>
                </c:pt>
                <c:pt idx="13">
                  <c:v>0.3448</c:v>
                </c:pt>
                <c:pt idx="14">
                  <c:v>0.35260000000000002</c:v>
                </c:pt>
                <c:pt idx="15">
                  <c:v>0.35809999999999997</c:v>
                </c:pt>
                <c:pt idx="16">
                  <c:v>0.36199999999999999</c:v>
                </c:pt>
                <c:pt idx="17">
                  <c:v>0.36499999999999999</c:v>
                </c:pt>
                <c:pt idx="18">
                  <c:v>0.3674</c:v>
                </c:pt>
                <c:pt idx="19">
                  <c:v>0.37430000000000002</c:v>
                </c:pt>
                <c:pt idx="20">
                  <c:v>0.37769999999999998</c:v>
                </c:pt>
              </c:numCache>
            </c:numRef>
          </c:xVal>
          <c:yVal>
            <c:numRef>
              <c:f>硅光电池数据!$G$5:$G$25</c:f>
              <c:numCache>
                <c:formatCode>0.0000_ </c:formatCode>
                <c:ptCount val="21"/>
                <c:pt idx="0">
                  <c:v>0.14219999999999999</c:v>
                </c:pt>
                <c:pt idx="1">
                  <c:v>0.14200000000000002</c:v>
                </c:pt>
                <c:pt idx="2">
                  <c:v>0.14200000000000002</c:v>
                </c:pt>
                <c:pt idx="3">
                  <c:v>0.14175000000000001</c:v>
                </c:pt>
                <c:pt idx="4">
                  <c:v>0.1414</c:v>
                </c:pt>
                <c:pt idx="5">
                  <c:v>0.14116666666666666</c:v>
                </c:pt>
                <c:pt idx="6">
                  <c:v>0.14071428571428571</c:v>
                </c:pt>
                <c:pt idx="7">
                  <c:v>0.140375</c:v>
                </c:pt>
                <c:pt idx="8">
                  <c:v>0.1398888888888889</c:v>
                </c:pt>
                <c:pt idx="9">
                  <c:v>0.1394</c:v>
                </c:pt>
                <c:pt idx="10">
                  <c:v>0.12734999999999999</c:v>
                </c:pt>
                <c:pt idx="11">
                  <c:v>0.10299999999999999</c:v>
                </c:pt>
                <c:pt idx="12">
                  <c:v>8.3074999999999996E-2</c:v>
                </c:pt>
                <c:pt idx="13">
                  <c:v>6.8960000000000007E-2</c:v>
                </c:pt>
                <c:pt idx="14">
                  <c:v>5.8766666666666668E-2</c:v>
                </c:pt>
                <c:pt idx="15">
                  <c:v>5.1157142857142852E-2</c:v>
                </c:pt>
                <c:pt idx="16">
                  <c:v>4.5249999999999999E-2</c:v>
                </c:pt>
                <c:pt idx="17">
                  <c:v>4.0555555555555553E-2</c:v>
                </c:pt>
                <c:pt idx="18">
                  <c:v>3.6739999999999995E-2</c:v>
                </c:pt>
                <c:pt idx="19">
                  <c:v>2.4953333333333334E-2</c:v>
                </c:pt>
                <c:pt idx="20">
                  <c:v>1.8884999999999999E-2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5064-CC44-A5BF-EDB0290588D8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xVal>
            <c:numRef>
              <c:f>硅光电池数据!$I$5:$I$25</c:f>
              <c:numCache>
                <c:formatCode>0.0000_ </c:formatCode>
                <c:ptCount val="21"/>
                <c:pt idx="0" formatCode="General">
                  <c:v>3.98E-3</c:v>
                </c:pt>
                <c:pt idx="1">
                  <c:v>1.5900000000000001E-2</c:v>
                </c:pt>
                <c:pt idx="2">
                  <c:v>2.3699999999999999E-2</c:v>
                </c:pt>
                <c:pt idx="3">
                  <c:v>3.1600000000000003E-2</c:v>
                </c:pt>
                <c:pt idx="4">
                  <c:v>3.95E-2</c:v>
                </c:pt>
                <c:pt idx="5">
                  <c:v>4.7300000000000002E-2</c:v>
                </c:pt>
                <c:pt idx="6">
                  <c:v>5.5E-2</c:v>
                </c:pt>
                <c:pt idx="7">
                  <c:v>6.2799999999999995E-2</c:v>
                </c:pt>
                <c:pt idx="8">
                  <c:v>7.0599999999999996E-2</c:v>
                </c:pt>
                <c:pt idx="9">
                  <c:v>7.8200000000000006E-2</c:v>
                </c:pt>
                <c:pt idx="10">
                  <c:v>0.15329999999999999</c:v>
                </c:pt>
                <c:pt idx="11">
                  <c:v>0.22040000000000001</c:v>
                </c:pt>
                <c:pt idx="12">
                  <c:v>0.26950000000000002</c:v>
                </c:pt>
                <c:pt idx="13">
                  <c:v>0.2979</c:v>
                </c:pt>
                <c:pt idx="14">
                  <c:v>0.31440000000000001</c:v>
                </c:pt>
                <c:pt idx="15">
                  <c:v>0.32469999999999999</c:v>
                </c:pt>
                <c:pt idx="16">
                  <c:v>0.33189999999999997</c:v>
                </c:pt>
                <c:pt idx="17">
                  <c:v>0.3372</c:v>
                </c:pt>
                <c:pt idx="18">
                  <c:v>0.3412</c:v>
                </c:pt>
                <c:pt idx="19">
                  <c:v>0.35239999999999999</c:v>
                </c:pt>
                <c:pt idx="20">
                  <c:v>0.35749999999999998</c:v>
                </c:pt>
              </c:numCache>
            </c:numRef>
          </c:xVal>
          <c:yVal>
            <c:numRef>
              <c:f>硅光电池数据!$J$5:$J$25</c:f>
              <c:numCache>
                <c:formatCode>0.0000_ </c:formatCode>
                <c:ptCount val="21"/>
                <c:pt idx="0">
                  <c:v>7.9600000000000004E-2</c:v>
                </c:pt>
                <c:pt idx="1">
                  <c:v>7.9500000000000001E-2</c:v>
                </c:pt>
                <c:pt idx="2">
                  <c:v>7.9000000000000001E-2</c:v>
                </c:pt>
                <c:pt idx="3">
                  <c:v>7.9000000000000001E-2</c:v>
                </c:pt>
                <c:pt idx="4">
                  <c:v>7.9000000000000001E-2</c:v>
                </c:pt>
                <c:pt idx="5">
                  <c:v>7.8833333333333339E-2</c:v>
                </c:pt>
                <c:pt idx="6">
                  <c:v>7.857142857142857E-2</c:v>
                </c:pt>
                <c:pt idx="7">
                  <c:v>7.85E-2</c:v>
                </c:pt>
                <c:pt idx="8">
                  <c:v>7.8444444444444442E-2</c:v>
                </c:pt>
                <c:pt idx="9">
                  <c:v>7.8200000000000006E-2</c:v>
                </c:pt>
                <c:pt idx="10">
                  <c:v>7.6649999999999996E-2</c:v>
                </c:pt>
                <c:pt idx="11">
                  <c:v>7.3466666666666666E-2</c:v>
                </c:pt>
                <c:pt idx="12">
                  <c:v>6.7375000000000004E-2</c:v>
                </c:pt>
                <c:pt idx="13">
                  <c:v>5.9579999999999994E-2</c:v>
                </c:pt>
                <c:pt idx="14">
                  <c:v>5.2400000000000009E-2</c:v>
                </c:pt>
                <c:pt idx="15">
                  <c:v>4.6385714285714287E-2</c:v>
                </c:pt>
                <c:pt idx="16">
                  <c:v>4.1487499999999997E-2</c:v>
                </c:pt>
                <c:pt idx="17">
                  <c:v>3.7466666666666662E-2</c:v>
                </c:pt>
                <c:pt idx="18">
                  <c:v>3.4119999999999998E-2</c:v>
                </c:pt>
                <c:pt idx="19">
                  <c:v>2.3493333333333331E-2</c:v>
                </c:pt>
                <c:pt idx="20">
                  <c:v>1.7874999999999999E-2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5064-CC44-A5BF-EDB0290588D8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xVal>
            <c:numRef>
              <c:f>硅光电池数据!$L$5:$L$25</c:f>
              <c:numCache>
                <c:formatCode>0.0000_ </c:formatCode>
                <c:ptCount val="21"/>
                <c:pt idx="0" formatCode="General">
                  <c:v>2.5300000000000001E-3</c:v>
                </c:pt>
                <c:pt idx="1">
                  <c:v>1.01E-2</c:v>
                </c:pt>
                <c:pt idx="2">
                  <c:v>1.5100000000000001E-2</c:v>
                </c:pt>
                <c:pt idx="3">
                  <c:v>2.01E-2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3.49E-2</c:v>
                </c:pt>
                <c:pt idx="7">
                  <c:v>3.9800000000000002E-2</c:v>
                </c:pt>
                <c:pt idx="8">
                  <c:v>4.48E-2</c:v>
                </c:pt>
                <c:pt idx="9">
                  <c:v>4.9700000000000001E-2</c:v>
                </c:pt>
                <c:pt idx="10">
                  <c:v>9.8000000000000004E-2</c:v>
                </c:pt>
                <c:pt idx="11">
                  <c:v>0.1444</c:v>
                </c:pt>
                <c:pt idx="12">
                  <c:v>0.18740000000000001</c:v>
                </c:pt>
                <c:pt idx="13">
                  <c:v>0.22500000000000001</c:v>
                </c:pt>
                <c:pt idx="14">
                  <c:v>0.25469999999999998</c:v>
                </c:pt>
                <c:pt idx="15">
                  <c:v>0.2762</c:v>
                </c:pt>
                <c:pt idx="16">
                  <c:v>0.2908</c:v>
                </c:pt>
                <c:pt idx="17">
                  <c:v>0.30099999999999999</c:v>
                </c:pt>
                <c:pt idx="18">
                  <c:v>0.30859999999999999</c:v>
                </c:pt>
                <c:pt idx="19">
                  <c:v>0.32790000000000002</c:v>
                </c:pt>
                <c:pt idx="20">
                  <c:v>0.33610000000000001</c:v>
                </c:pt>
              </c:numCache>
            </c:numRef>
          </c:xVal>
          <c:yVal>
            <c:numRef>
              <c:f>硅光电池数据!$M$5:$M$25</c:f>
              <c:numCache>
                <c:formatCode>0.0000_ </c:formatCode>
                <c:ptCount val="21"/>
                <c:pt idx="0">
                  <c:v>5.0600000000000006E-2</c:v>
                </c:pt>
                <c:pt idx="1">
                  <c:v>5.0499999999999996E-2</c:v>
                </c:pt>
                <c:pt idx="2">
                  <c:v>5.0333333333333341E-2</c:v>
                </c:pt>
                <c:pt idx="3">
                  <c:v>5.0250000000000003E-2</c:v>
                </c:pt>
                <c:pt idx="4">
                  <c:v>0.05</c:v>
                </c:pt>
                <c:pt idx="5">
                  <c:v>0.05</c:v>
                </c:pt>
                <c:pt idx="6">
                  <c:v>4.9857142857142857E-2</c:v>
                </c:pt>
                <c:pt idx="7">
                  <c:v>4.9750000000000003E-2</c:v>
                </c:pt>
                <c:pt idx="8">
                  <c:v>4.9777777777777775E-2</c:v>
                </c:pt>
                <c:pt idx="9">
                  <c:v>4.9700000000000001E-2</c:v>
                </c:pt>
                <c:pt idx="10">
                  <c:v>4.9000000000000002E-2</c:v>
                </c:pt>
                <c:pt idx="11">
                  <c:v>4.8133333333333334E-2</c:v>
                </c:pt>
                <c:pt idx="12">
                  <c:v>4.6850000000000003E-2</c:v>
                </c:pt>
                <c:pt idx="13">
                  <c:v>4.4999999999999998E-2</c:v>
                </c:pt>
                <c:pt idx="14">
                  <c:v>4.2449999999999995E-2</c:v>
                </c:pt>
                <c:pt idx="15">
                  <c:v>3.9457142857142857E-2</c:v>
                </c:pt>
                <c:pt idx="16">
                  <c:v>3.635E-2</c:v>
                </c:pt>
                <c:pt idx="17">
                  <c:v>3.3444444444444443E-2</c:v>
                </c:pt>
                <c:pt idx="18">
                  <c:v>3.0859999999999995E-2</c:v>
                </c:pt>
                <c:pt idx="19">
                  <c:v>2.1860000000000001E-2</c:v>
                </c:pt>
                <c:pt idx="20">
                  <c:v>1.6805E-2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5064-CC44-A5BF-EDB029058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394511"/>
        <c:axId val="1899024591"/>
      </c:scatterChart>
      <c:valAx>
        <c:axId val="164239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899024591"/>
        <c:crosses val="autoZero"/>
        <c:crossBetween val="midCat"/>
      </c:valAx>
      <c:valAx>
        <c:axId val="189902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642394511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硅光电池数据!$B$5:$B$25</c:f>
              <c:numCache>
                <c:formatCode>General</c:formatCode>
                <c:ptCount val="21"/>
                <c:pt idx="0">
                  <c:v>50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2000</c:v>
                </c:pt>
                <c:pt idx="11">
                  <c:v>3000</c:v>
                </c:pt>
                <c:pt idx="12">
                  <c:v>4000</c:v>
                </c:pt>
                <c:pt idx="13">
                  <c:v>5000</c:v>
                </c:pt>
                <c:pt idx="14">
                  <c:v>6000</c:v>
                </c:pt>
                <c:pt idx="15">
                  <c:v>7000</c:v>
                </c:pt>
                <c:pt idx="16">
                  <c:v>8000</c:v>
                </c:pt>
                <c:pt idx="17">
                  <c:v>9000</c:v>
                </c:pt>
                <c:pt idx="18">
                  <c:v>10000</c:v>
                </c:pt>
                <c:pt idx="19">
                  <c:v>15000</c:v>
                </c:pt>
                <c:pt idx="20">
                  <c:v>20000</c:v>
                </c:pt>
              </c:numCache>
            </c:numRef>
          </c:xVal>
          <c:yVal>
            <c:numRef>
              <c:f>硅光电池数据!$E$5:$E$25</c:f>
              <c:numCache>
                <c:formatCode>0.00000_ </c:formatCode>
                <c:ptCount val="21"/>
                <c:pt idx="0">
                  <c:v>5.2035379999999997E-3</c:v>
                </c:pt>
                <c:pt idx="1">
                  <c:v>2.0672449999999998E-2</c:v>
                </c:pt>
                <c:pt idx="2">
                  <c:v>3.0464533333333339E-2</c:v>
                </c:pt>
                <c:pt idx="3">
                  <c:v>3.9690000000000003E-2</c:v>
                </c:pt>
                <c:pt idx="4">
                  <c:v>4.7988020000000006E-2</c:v>
                </c:pt>
                <c:pt idx="5">
                  <c:v>5.4903749999999994E-2</c:v>
                </c:pt>
                <c:pt idx="6">
                  <c:v>6.038765714285714E-2</c:v>
                </c:pt>
                <c:pt idx="7">
                  <c:v>6.4127812500000006E-2</c:v>
                </c:pt>
                <c:pt idx="8">
                  <c:v>6.6476844444444447E-2</c:v>
                </c:pt>
                <c:pt idx="9">
                  <c:v>6.7548010000000006E-2</c:v>
                </c:pt>
                <c:pt idx="10">
                  <c:v>5.6380819999999998E-2</c:v>
                </c:pt>
                <c:pt idx="11">
                  <c:v>4.3560749999999995E-2</c:v>
                </c:pt>
                <c:pt idx="12">
                  <c:v>3.5006409999999995E-2</c:v>
                </c:pt>
                <c:pt idx="13">
                  <c:v>2.9138977999999996E-2</c:v>
                </c:pt>
                <c:pt idx="14">
                  <c:v>2.4922814999999997E-2</c:v>
                </c:pt>
                <c:pt idx="15">
                  <c:v>2.1750862857142856E-2</c:v>
                </c:pt>
                <c:pt idx="16">
                  <c:v>1.927666125E-2</c:v>
                </c:pt>
                <c:pt idx="17">
                  <c:v>1.731856E-2</c:v>
                </c:pt>
                <c:pt idx="18">
                  <c:v>1.5713295999999998E-2</c:v>
                </c:pt>
                <c:pt idx="19">
                  <c:v>1.0736112666666667E-2</c:v>
                </c:pt>
                <c:pt idx="20">
                  <c:v>8.1486844999999995E-3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C5-9A43-B649-E947D6F431D4}"/>
            </c:ext>
          </c:extLst>
        </c:ser>
        <c:ser>
          <c:idx val="1"/>
          <c:order val="1"/>
          <c:xVal>
            <c:numRef>
              <c:f>硅光电池数据!$B$5:$B$25</c:f>
              <c:numCache>
                <c:formatCode>General</c:formatCode>
                <c:ptCount val="21"/>
                <c:pt idx="0">
                  <c:v>50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2000</c:v>
                </c:pt>
                <c:pt idx="11">
                  <c:v>3000</c:v>
                </c:pt>
                <c:pt idx="12">
                  <c:v>4000</c:v>
                </c:pt>
                <c:pt idx="13">
                  <c:v>5000</c:v>
                </c:pt>
                <c:pt idx="14">
                  <c:v>6000</c:v>
                </c:pt>
                <c:pt idx="15">
                  <c:v>7000</c:v>
                </c:pt>
                <c:pt idx="16">
                  <c:v>8000</c:v>
                </c:pt>
                <c:pt idx="17">
                  <c:v>9000</c:v>
                </c:pt>
                <c:pt idx="18">
                  <c:v>10000</c:v>
                </c:pt>
                <c:pt idx="19">
                  <c:v>15000</c:v>
                </c:pt>
                <c:pt idx="20">
                  <c:v>20000</c:v>
                </c:pt>
              </c:numCache>
            </c:numRef>
          </c:xVal>
          <c:yVal>
            <c:numRef>
              <c:f>硅光电池数据!$H$5:$H$25</c:f>
              <c:numCache>
                <c:formatCode>0.00000_ </c:formatCode>
                <c:ptCount val="21"/>
                <c:pt idx="0">
                  <c:v>1.011042E-3</c:v>
                </c:pt>
                <c:pt idx="1">
                  <c:v>4.0328000000000004E-3</c:v>
                </c:pt>
                <c:pt idx="2">
                  <c:v>6.0492000000000002E-3</c:v>
                </c:pt>
                <c:pt idx="3">
                  <c:v>8.0372250000000003E-3</c:v>
                </c:pt>
                <c:pt idx="4">
                  <c:v>9.9969799999999991E-3</c:v>
                </c:pt>
                <c:pt idx="5">
                  <c:v>1.1956816666666667E-2</c:v>
                </c:pt>
                <c:pt idx="6">
                  <c:v>1.3860357142857143E-2</c:v>
                </c:pt>
                <c:pt idx="7">
                  <c:v>1.57641125E-2</c:v>
                </c:pt>
                <c:pt idx="8">
                  <c:v>1.7612011111111114E-2</c:v>
                </c:pt>
                <c:pt idx="9">
                  <c:v>1.9432359999999999E-2</c:v>
                </c:pt>
                <c:pt idx="10">
                  <c:v>3.2436044999999997E-2</c:v>
                </c:pt>
                <c:pt idx="11">
                  <c:v>3.1827000000000001E-2</c:v>
                </c:pt>
                <c:pt idx="12">
                  <c:v>2.7605822499999998E-2</c:v>
                </c:pt>
                <c:pt idx="13">
                  <c:v>2.3777408000000003E-2</c:v>
                </c:pt>
                <c:pt idx="14">
                  <c:v>2.0721126666666669E-2</c:v>
                </c:pt>
                <c:pt idx="15">
                  <c:v>1.8319372857142854E-2</c:v>
                </c:pt>
                <c:pt idx="16">
                  <c:v>1.6380499999999999E-2</c:v>
                </c:pt>
                <c:pt idx="17">
                  <c:v>1.4802777777777776E-2</c:v>
                </c:pt>
                <c:pt idx="18">
                  <c:v>1.3498275999999998E-2</c:v>
                </c:pt>
                <c:pt idx="19">
                  <c:v>9.3400326666666679E-3</c:v>
                </c:pt>
                <c:pt idx="20">
                  <c:v>7.1328644999999989E-3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4C5-9A43-B649-E947D6F431D4}"/>
            </c:ext>
          </c:extLst>
        </c:ser>
        <c:ser>
          <c:idx val="2"/>
          <c:order val="2"/>
          <c:xVal>
            <c:numRef>
              <c:f>硅光电池数据!$B$5:$B$25</c:f>
              <c:numCache>
                <c:formatCode>General</c:formatCode>
                <c:ptCount val="21"/>
                <c:pt idx="0">
                  <c:v>50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2000</c:v>
                </c:pt>
                <c:pt idx="11">
                  <c:v>3000</c:v>
                </c:pt>
                <c:pt idx="12">
                  <c:v>4000</c:v>
                </c:pt>
                <c:pt idx="13">
                  <c:v>5000</c:v>
                </c:pt>
                <c:pt idx="14">
                  <c:v>6000</c:v>
                </c:pt>
                <c:pt idx="15">
                  <c:v>7000</c:v>
                </c:pt>
                <c:pt idx="16">
                  <c:v>8000</c:v>
                </c:pt>
                <c:pt idx="17">
                  <c:v>9000</c:v>
                </c:pt>
                <c:pt idx="18">
                  <c:v>10000</c:v>
                </c:pt>
                <c:pt idx="19">
                  <c:v>15000</c:v>
                </c:pt>
                <c:pt idx="20">
                  <c:v>20000</c:v>
                </c:pt>
              </c:numCache>
            </c:numRef>
          </c:xVal>
          <c:yVal>
            <c:numRef>
              <c:f>硅光电池数据!$K$5:$K$25</c:f>
              <c:numCache>
                <c:formatCode>0.00000_ </c:formatCode>
                <c:ptCount val="21"/>
                <c:pt idx="0">
                  <c:v>3.1680800000000002E-4</c:v>
                </c:pt>
                <c:pt idx="1">
                  <c:v>1.2640500000000001E-3</c:v>
                </c:pt>
                <c:pt idx="2">
                  <c:v>1.8722999999999999E-3</c:v>
                </c:pt>
                <c:pt idx="3">
                  <c:v>2.4964000000000002E-3</c:v>
                </c:pt>
                <c:pt idx="4">
                  <c:v>3.1205E-3</c:v>
                </c:pt>
                <c:pt idx="5">
                  <c:v>3.728816666666667E-3</c:v>
                </c:pt>
                <c:pt idx="6">
                  <c:v>4.3214285714285715E-3</c:v>
                </c:pt>
                <c:pt idx="7">
                  <c:v>4.9297999999999998E-3</c:v>
                </c:pt>
                <c:pt idx="8">
                  <c:v>5.5381777777777771E-3</c:v>
                </c:pt>
                <c:pt idx="9">
                  <c:v>6.115240000000001E-3</c:v>
                </c:pt>
                <c:pt idx="10">
                  <c:v>1.1750444999999998E-2</c:v>
                </c:pt>
                <c:pt idx="11">
                  <c:v>1.6192053333333335E-2</c:v>
                </c:pt>
                <c:pt idx="12">
                  <c:v>1.8157562500000002E-2</c:v>
                </c:pt>
                <c:pt idx="13">
                  <c:v>1.7748881999999997E-2</c:v>
                </c:pt>
                <c:pt idx="14">
                  <c:v>1.6474560000000003E-2</c:v>
                </c:pt>
                <c:pt idx="15">
                  <c:v>1.5061441428571428E-2</c:v>
                </c:pt>
                <c:pt idx="16">
                  <c:v>1.3769701249999997E-2</c:v>
                </c:pt>
                <c:pt idx="17">
                  <c:v>1.2633759999999999E-2</c:v>
                </c:pt>
                <c:pt idx="18">
                  <c:v>1.1641743999999999E-2</c:v>
                </c:pt>
                <c:pt idx="19">
                  <c:v>8.2790506666666659E-3</c:v>
                </c:pt>
                <c:pt idx="20">
                  <c:v>6.3903124999999993E-3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4C5-9A43-B649-E947D6F431D4}"/>
            </c:ext>
          </c:extLst>
        </c:ser>
        <c:ser>
          <c:idx val="3"/>
          <c:order val="3"/>
          <c:xVal>
            <c:numRef>
              <c:f>硅光电池数据!$B$5:$B$25</c:f>
              <c:numCache>
                <c:formatCode>General</c:formatCode>
                <c:ptCount val="21"/>
                <c:pt idx="0">
                  <c:v>50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2000</c:v>
                </c:pt>
                <c:pt idx="11">
                  <c:v>3000</c:v>
                </c:pt>
                <c:pt idx="12">
                  <c:v>4000</c:v>
                </c:pt>
                <c:pt idx="13">
                  <c:v>5000</c:v>
                </c:pt>
                <c:pt idx="14">
                  <c:v>6000</c:v>
                </c:pt>
                <c:pt idx="15">
                  <c:v>7000</c:v>
                </c:pt>
                <c:pt idx="16">
                  <c:v>8000</c:v>
                </c:pt>
                <c:pt idx="17">
                  <c:v>9000</c:v>
                </c:pt>
                <c:pt idx="18">
                  <c:v>10000</c:v>
                </c:pt>
                <c:pt idx="19">
                  <c:v>15000</c:v>
                </c:pt>
                <c:pt idx="20">
                  <c:v>20000</c:v>
                </c:pt>
              </c:numCache>
            </c:numRef>
          </c:xVal>
          <c:yVal>
            <c:numRef>
              <c:f>硅光电池数据!$N$5:$N$25</c:f>
              <c:numCache>
                <c:formatCode>0.00000_ </c:formatCode>
                <c:ptCount val="21"/>
                <c:pt idx="0">
                  <c:v>1.2801800000000003E-4</c:v>
                </c:pt>
                <c:pt idx="1">
                  <c:v>5.1004999999999996E-4</c:v>
                </c:pt>
                <c:pt idx="2">
                  <c:v>7.600333333333335E-4</c:v>
                </c:pt>
                <c:pt idx="3">
                  <c:v>1.0100250000000001E-3</c:v>
                </c:pt>
                <c:pt idx="4">
                  <c:v>1.2500000000000002E-3</c:v>
                </c:pt>
                <c:pt idx="5">
                  <c:v>1.5E-3</c:v>
                </c:pt>
                <c:pt idx="6">
                  <c:v>1.7400142857142858E-3</c:v>
                </c:pt>
                <c:pt idx="7">
                  <c:v>1.9800500000000001E-3</c:v>
                </c:pt>
                <c:pt idx="8">
                  <c:v>2.2300444444444444E-3</c:v>
                </c:pt>
                <c:pt idx="9">
                  <c:v>2.4700900000000003E-3</c:v>
                </c:pt>
                <c:pt idx="10">
                  <c:v>4.8020000000000007E-3</c:v>
                </c:pt>
                <c:pt idx="11">
                  <c:v>6.9504533333333337E-3</c:v>
                </c:pt>
                <c:pt idx="12">
                  <c:v>8.7796900000000015E-3</c:v>
                </c:pt>
                <c:pt idx="13">
                  <c:v>1.0125E-2</c:v>
                </c:pt>
                <c:pt idx="14">
                  <c:v>1.0812014999999998E-2</c:v>
                </c:pt>
                <c:pt idx="15">
                  <c:v>1.0898062857142857E-2</c:v>
                </c:pt>
                <c:pt idx="16">
                  <c:v>1.057058E-2</c:v>
                </c:pt>
                <c:pt idx="17">
                  <c:v>1.0066777777777777E-2</c:v>
                </c:pt>
                <c:pt idx="18">
                  <c:v>9.5233959999999982E-3</c:v>
                </c:pt>
                <c:pt idx="19">
                  <c:v>7.167894000000001E-3</c:v>
                </c:pt>
                <c:pt idx="20">
                  <c:v>5.6481605000000008E-3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4C5-9A43-B649-E947D6F43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394511"/>
        <c:axId val="1899024591"/>
      </c:scatterChart>
      <c:valAx>
        <c:axId val="164239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899024591"/>
        <c:crosses val="autoZero"/>
        <c:crossBetween val="midCat"/>
      </c:valAx>
      <c:valAx>
        <c:axId val="189902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642394511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(硅光电池数据!$C$32:$L$32,硅光电池数据!$C$35:$L$35)</c:f>
              <c:numCache>
                <c:formatCode>General</c:formatCode>
                <c:ptCount val="20"/>
                <c:pt idx="0">
                  <c:v>0.50209999999999999</c:v>
                </c:pt>
                <c:pt idx="1">
                  <c:v>0.62829999999999997</c:v>
                </c:pt>
                <c:pt idx="2">
                  <c:v>0.70630000000000004</c:v>
                </c:pt>
                <c:pt idx="3">
                  <c:v>0.74819999999999998</c:v>
                </c:pt>
                <c:pt idx="4">
                  <c:v>0.7883</c:v>
                </c:pt>
                <c:pt idx="5">
                  <c:v>0.83540000000000003</c:v>
                </c:pt>
                <c:pt idx="6">
                  <c:v>0.87580000000000002</c:v>
                </c:pt>
                <c:pt idx="7">
                  <c:v>0.90329999999999999</c:v>
                </c:pt>
                <c:pt idx="8">
                  <c:v>0.95220000000000005</c:v>
                </c:pt>
                <c:pt idx="9">
                  <c:v>0.99729999999999996</c:v>
                </c:pt>
                <c:pt idx="10">
                  <c:v>1.0178</c:v>
                </c:pt>
                <c:pt idx="11">
                  <c:v>1.0658000000000001</c:v>
                </c:pt>
                <c:pt idx="12">
                  <c:v>1.1103000000000001</c:v>
                </c:pt>
                <c:pt idx="13">
                  <c:v>1.1493</c:v>
                </c:pt>
                <c:pt idx="14">
                  <c:v>1.1870000000000001</c:v>
                </c:pt>
                <c:pt idx="15">
                  <c:v>1.2224999999999999</c:v>
                </c:pt>
                <c:pt idx="16">
                  <c:v>1.2542</c:v>
                </c:pt>
                <c:pt idx="17">
                  <c:v>1.2862</c:v>
                </c:pt>
                <c:pt idx="18">
                  <c:v>1.3146</c:v>
                </c:pt>
                <c:pt idx="19">
                  <c:v>1.3694</c:v>
                </c:pt>
              </c:numCache>
            </c:numRef>
          </c:xVal>
          <c:yVal>
            <c:numRef>
              <c:f>(硅光电池数据!$C$31:$L$31,硅光电池数据!$C$34:$L$34)</c:f>
              <c:numCache>
                <c:formatCode>0.00_ </c:formatCode>
                <c:ptCount val="20"/>
                <c:pt idx="0">
                  <c:v>0.04</c:v>
                </c:pt>
                <c:pt idx="1">
                  <c:v>1</c:v>
                </c:pt>
                <c:pt idx="2">
                  <c:v>1.6</c:v>
                </c:pt>
                <c:pt idx="3">
                  <c:v>2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</c:v>
                </c:pt>
                <c:pt idx="8">
                  <c:v>4.8</c:v>
                </c:pt>
                <c:pt idx="9">
                  <c:v>5.6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58-4B41-BDE8-206ED33EB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394511"/>
        <c:axId val="1899024591"/>
      </c:scatterChart>
      <c:valAx>
        <c:axId val="1642394511"/>
        <c:scaling>
          <c:orientation val="minMax"/>
          <c:max val="1.4"/>
          <c:min val="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899024591"/>
        <c:crosses val="autoZero"/>
        <c:crossBetween val="midCat"/>
      </c:valAx>
      <c:valAx>
        <c:axId val="189902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642394511"/>
        <c:crosses val="autoZero"/>
        <c:crossBetween val="midCat"/>
      </c:valAx>
      <c:spPr>
        <a:ln cap="rnd">
          <a:noFill/>
          <a:round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xVal>
            <c:numRef>
              <c:f>硅光电池数据!$C$40:$I$40</c:f>
              <c:numCache>
                <c:formatCode>0.0_ </c:formatCode>
                <c:ptCount val="7"/>
                <c:pt idx="0">
                  <c:v>250</c:v>
                </c:pt>
                <c:pt idx="1">
                  <c:v>160</c:v>
                </c:pt>
                <c:pt idx="2">
                  <c:v>111.11111111111111</c:v>
                </c:pt>
                <c:pt idx="3">
                  <c:v>81.632653061224488</c:v>
                </c:pt>
                <c:pt idx="4">
                  <c:v>62.5</c:v>
                </c:pt>
                <c:pt idx="5">
                  <c:v>49.382716049382715</c:v>
                </c:pt>
                <c:pt idx="6">
                  <c:v>40</c:v>
                </c:pt>
              </c:numCache>
            </c:numRef>
          </c:xVal>
          <c:yVal>
            <c:numRef>
              <c:f>硅光电池数据!$C$41:$I$41</c:f>
              <c:numCache>
                <c:formatCode>General</c:formatCode>
                <c:ptCount val="7"/>
                <c:pt idx="0">
                  <c:v>0.41320000000000001</c:v>
                </c:pt>
                <c:pt idx="1">
                  <c:v>0.39960000000000001</c:v>
                </c:pt>
                <c:pt idx="2">
                  <c:v>0.38890000000000002</c:v>
                </c:pt>
                <c:pt idx="3">
                  <c:v>0.37959999999999999</c:v>
                </c:pt>
                <c:pt idx="4">
                  <c:v>0.371</c:v>
                </c:pt>
                <c:pt idx="5">
                  <c:v>0.3634</c:v>
                </c:pt>
                <c:pt idx="6">
                  <c:v>0.35599999999999998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B8-044B-8B0D-CC80CF972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394511"/>
        <c:axId val="1899024591"/>
      </c:scatterChart>
      <c:valAx>
        <c:axId val="164239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899024591"/>
        <c:crosses val="autoZero"/>
        <c:crossBetween val="midCat"/>
      </c:valAx>
      <c:valAx>
        <c:axId val="189902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642394511"/>
        <c:crosses val="autoZero"/>
        <c:crossBetween val="midCat"/>
      </c:valAx>
      <c:spPr>
        <a:ln cap="rnd">
          <a:noFill/>
          <a:round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硅光电池数据!$C$40:$I$40</c:f>
              <c:numCache>
                <c:formatCode>0.0_ </c:formatCode>
                <c:ptCount val="7"/>
                <c:pt idx="0">
                  <c:v>250</c:v>
                </c:pt>
                <c:pt idx="1">
                  <c:v>160</c:v>
                </c:pt>
                <c:pt idx="2">
                  <c:v>111.11111111111111</c:v>
                </c:pt>
                <c:pt idx="3">
                  <c:v>81.632653061224488</c:v>
                </c:pt>
                <c:pt idx="4">
                  <c:v>62.5</c:v>
                </c:pt>
                <c:pt idx="5">
                  <c:v>49.382716049382715</c:v>
                </c:pt>
                <c:pt idx="6">
                  <c:v>40</c:v>
                </c:pt>
              </c:numCache>
            </c:numRef>
          </c:xVal>
          <c:yVal>
            <c:numRef>
              <c:f>硅光电池数据!$C$43:$I$43</c:f>
              <c:numCache>
                <c:formatCode>General</c:formatCode>
                <c:ptCount val="7"/>
                <c:pt idx="0">
                  <c:v>0.3226</c:v>
                </c:pt>
                <c:pt idx="1">
                  <c:v>0.2072</c:v>
                </c:pt>
                <c:pt idx="2">
                  <c:v>0.14219999999999999</c:v>
                </c:pt>
                <c:pt idx="3">
                  <c:v>0.1046</c:v>
                </c:pt>
                <c:pt idx="4">
                  <c:v>7.9600000000000004E-2</c:v>
                </c:pt>
                <c:pt idx="5">
                  <c:v>6.2399999999999997E-2</c:v>
                </c:pt>
                <c:pt idx="6">
                  <c:v>5.0600000000000006E-2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BE-1449-BA00-96DFE74FE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394511"/>
        <c:axId val="1899024591"/>
      </c:scatterChart>
      <c:valAx>
        <c:axId val="1642394511"/>
        <c:scaling>
          <c:orientation val="minMax"/>
        </c:scaling>
        <c:delete val="0"/>
        <c:axPos val="b"/>
        <c:numFmt formatCode="0.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899024591"/>
        <c:crosses val="autoZero"/>
        <c:crossBetween val="midCat"/>
      </c:valAx>
      <c:valAx>
        <c:axId val="1899024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642394511"/>
        <c:crosses val="autoZero"/>
        <c:crossBetween val="midCat"/>
      </c:valAx>
      <c:spPr>
        <a:ln cap="rnd">
          <a:noFill/>
          <a:round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xVal>
            <c:numRef>
              <c:f>硅光电池数据!$D$47:$J$47</c:f>
              <c:numCache>
                <c:formatCode>0.0_ </c:formatCode>
                <c:ptCount val="7"/>
                <c:pt idx="0">
                  <c:v>250</c:v>
                </c:pt>
                <c:pt idx="1">
                  <c:v>160</c:v>
                </c:pt>
                <c:pt idx="2">
                  <c:v>111.11111111111111</c:v>
                </c:pt>
                <c:pt idx="3">
                  <c:v>81.632653061224488</c:v>
                </c:pt>
                <c:pt idx="4">
                  <c:v>62.5</c:v>
                </c:pt>
                <c:pt idx="5">
                  <c:v>49.382716049382715</c:v>
                </c:pt>
                <c:pt idx="6">
                  <c:v>40</c:v>
                </c:pt>
              </c:numCache>
            </c:numRef>
          </c:xVal>
          <c:yVal>
            <c:numRef>
              <c:f>硅光电池数据!$D$48:$J$48</c:f>
              <c:numCache>
                <c:formatCode>0.00000_ </c:formatCode>
                <c:ptCount val="7"/>
                <c:pt idx="0">
                  <c:v>3.2559999999999999E-2</c:v>
                </c:pt>
                <c:pt idx="1">
                  <c:v>2.078E-2</c:v>
                </c:pt>
                <c:pt idx="2">
                  <c:v>1.478E-2</c:v>
                </c:pt>
                <c:pt idx="3">
                  <c:v>1.047E-2</c:v>
                </c:pt>
                <c:pt idx="4">
                  <c:v>7.9000000000000008E-3</c:v>
                </c:pt>
                <c:pt idx="5">
                  <c:v>6.2199999999999998E-3</c:v>
                </c:pt>
                <c:pt idx="6">
                  <c:v>5.2199999999999998E-3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99-1642-86B3-29F868B087D3}"/>
            </c:ext>
          </c:extLst>
        </c:ser>
        <c:ser>
          <c:idx val="1"/>
          <c:order val="1"/>
          <c:marker>
            <c:symbol val="x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硅光电池数据!$D$47:$J$47</c:f>
              <c:numCache>
                <c:formatCode>0.0_ </c:formatCode>
                <c:ptCount val="7"/>
                <c:pt idx="0">
                  <c:v>250</c:v>
                </c:pt>
                <c:pt idx="1">
                  <c:v>160</c:v>
                </c:pt>
                <c:pt idx="2">
                  <c:v>111.11111111111111</c:v>
                </c:pt>
                <c:pt idx="3">
                  <c:v>81.632653061224488</c:v>
                </c:pt>
                <c:pt idx="4">
                  <c:v>62.5</c:v>
                </c:pt>
                <c:pt idx="5">
                  <c:v>49.382716049382715</c:v>
                </c:pt>
                <c:pt idx="6">
                  <c:v>40</c:v>
                </c:pt>
              </c:numCache>
            </c:numRef>
          </c:xVal>
          <c:yVal>
            <c:numRef>
              <c:f>硅光电池数据!$D$50:$J$50</c:f>
              <c:numCache>
                <c:formatCode>0.0000_);[Red]\(0.0000\)</c:formatCode>
                <c:ptCount val="7"/>
                <c:pt idx="0">
                  <c:v>0.25990000000000002</c:v>
                </c:pt>
                <c:pt idx="1">
                  <c:v>0.19700000000000001</c:v>
                </c:pt>
                <c:pt idx="2">
                  <c:v>0.1394</c:v>
                </c:pt>
                <c:pt idx="3">
                  <c:v>0.1024</c:v>
                </c:pt>
                <c:pt idx="4">
                  <c:v>7.8200000000000006E-2</c:v>
                </c:pt>
                <c:pt idx="5">
                  <c:v>6.1699999999999998E-2</c:v>
                </c:pt>
                <c:pt idx="6">
                  <c:v>4.9700000000000001E-2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99-1642-86B3-29F868B087D3}"/>
            </c:ext>
          </c:extLst>
        </c:ser>
        <c:ser>
          <c:idx val="2"/>
          <c:order val="2"/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硅光电池数据!$D$47:$J$47</c:f>
              <c:numCache>
                <c:formatCode>0.0_ </c:formatCode>
                <c:ptCount val="7"/>
                <c:pt idx="0">
                  <c:v>250</c:v>
                </c:pt>
                <c:pt idx="1">
                  <c:v>160</c:v>
                </c:pt>
                <c:pt idx="2">
                  <c:v>111.11111111111111</c:v>
                </c:pt>
                <c:pt idx="3">
                  <c:v>81.632653061224488</c:v>
                </c:pt>
                <c:pt idx="4">
                  <c:v>62.5</c:v>
                </c:pt>
                <c:pt idx="5">
                  <c:v>49.382716049382715</c:v>
                </c:pt>
                <c:pt idx="6">
                  <c:v>40</c:v>
                </c:pt>
              </c:numCache>
            </c:numRef>
          </c:xVal>
          <c:yVal>
            <c:numRef>
              <c:f>硅光电池数据!$D$52:$J$52</c:f>
              <c:numCache>
                <c:formatCode>0.0000_);[Red]\(0.0000\)</c:formatCode>
                <c:ptCount val="7"/>
                <c:pt idx="0">
                  <c:v>0.38169999999999998</c:v>
                </c:pt>
                <c:pt idx="1">
                  <c:v>0.36370000000000002</c:v>
                </c:pt>
                <c:pt idx="2">
                  <c:v>0.3448</c:v>
                </c:pt>
                <c:pt idx="3">
                  <c:v>0.3241</c:v>
                </c:pt>
                <c:pt idx="4">
                  <c:v>0.2979</c:v>
                </c:pt>
                <c:pt idx="5">
                  <c:v>0.26340000000000002</c:v>
                </c:pt>
                <c:pt idx="6">
                  <c:v>0.22500000000000001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699-1642-86B3-29F868B087D3}"/>
            </c:ext>
          </c:extLst>
        </c:ser>
        <c:ser>
          <c:idx val="3"/>
          <c:order val="3"/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硅光电池数据!$D$47:$J$47</c:f>
              <c:numCache>
                <c:formatCode>0.0_ </c:formatCode>
                <c:ptCount val="7"/>
                <c:pt idx="0">
                  <c:v>250</c:v>
                </c:pt>
                <c:pt idx="1">
                  <c:v>160</c:v>
                </c:pt>
                <c:pt idx="2">
                  <c:v>111.11111111111111</c:v>
                </c:pt>
                <c:pt idx="3">
                  <c:v>81.632653061224488</c:v>
                </c:pt>
                <c:pt idx="4">
                  <c:v>62.5</c:v>
                </c:pt>
                <c:pt idx="5">
                  <c:v>49.382716049382715</c:v>
                </c:pt>
                <c:pt idx="6">
                  <c:v>40</c:v>
                </c:pt>
              </c:numCache>
            </c:numRef>
          </c:xVal>
          <c:yVal>
            <c:numRef>
              <c:f>硅光电池数据!$D$54:$J$54</c:f>
              <c:numCache>
                <c:formatCode>0.0000_);[Red]\(0.0000\)</c:formatCode>
                <c:ptCount val="7"/>
                <c:pt idx="0">
                  <c:v>0.39639999999999997</c:v>
                </c:pt>
                <c:pt idx="1">
                  <c:v>0.38200000000000001</c:v>
                </c:pt>
                <c:pt idx="2">
                  <c:v>0.3674</c:v>
                </c:pt>
                <c:pt idx="3">
                  <c:v>0.35420000000000001</c:v>
                </c:pt>
                <c:pt idx="4">
                  <c:v>0.3412</c:v>
                </c:pt>
                <c:pt idx="5">
                  <c:v>0.3251</c:v>
                </c:pt>
                <c:pt idx="6">
                  <c:v>0.30859999999999999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699-1642-86B3-29F868B08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394511"/>
        <c:axId val="1899024591"/>
      </c:scatterChart>
      <c:valAx>
        <c:axId val="164239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899024591"/>
        <c:crosses val="autoZero"/>
        <c:crossBetween val="midCat"/>
      </c:valAx>
      <c:valAx>
        <c:axId val="189902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642394511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527050</xdr:colOff>
      <xdr:row>3</xdr:row>
      <xdr:rowOff>184151</xdr:rowOff>
    </xdr:from>
    <xdr:to>
      <xdr:col>23</xdr:col>
      <xdr:colOff>531622</xdr:colOff>
      <xdr:row>23</xdr:row>
      <xdr:rowOff>216216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2016AB7-3E62-654A-80DB-B69D7E4B63A5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330200</xdr:colOff>
      <xdr:row>3</xdr:row>
      <xdr:rowOff>203200</xdr:rowOff>
    </xdr:from>
    <xdr:to>
      <xdr:col>33</xdr:col>
      <xdr:colOff>336550</xdr:colOff>
      <xdr:row>23</xdr:row>
      <xdr:rowOff>234950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46728CE-8E1B-4D4A-A3F9-32852F770C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520700</xdr:colOff>
      <xdr:row>25</xdr:row>
      <xdr:rowOff>0</xdr:rowOff>
    </xdr:from>
    <xdr:to>
      <xdr:col>23</xdr:col>
      <xdr:colOff>527050</xdr:colOff>
      <xdr:row>45</xdr:row>
      <xdr:rowOff>31750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F951D2AC-6A83-B142-AA6C-9A7321BE37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330200</xdr:colOff>
      <xdr:row>25</xdr:row>
      <xdr:rowOff>63500</xdr:rowOff>
    </xdr:from>
    <xdr:to>
      <xdr:col>33</xdr:col>
      <xdr:colOff>336550</xdr:colOff>
      <xdr:row>45</xdr:row>
      <xdr:rowOff>95250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E801100F-A662-374A-A5DD-A9013B9DF7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0</xdr:colOff>
      <xdr:row>25</xdr:row>
      <xdr:rowOff>0</xdr:rowOff>
    </xdr:from>
    <xdr:to>
      <xdr:col>43</xdr:col>
      <xdr:colOff>6350</xdr:colOff>
      <xdr:row>45</xdr:row>
      <xdr:rowOff>31750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3FC50048-8A5E-2F43-A7B2-4D7B21A512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56</xdr:row>
      <xdr:rowOff>0</xdr:rowOff>
    </xdr:from>
    <xdr:to>
      <xdr:col>10</xdr:col>
      <xdr:colOff>6350</xdr:colOff>
      <xdr:row>76</xdr:row>
      <xdr:rowOff>31750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27AB1F51-DCC4-E440-BE7A-802A2D654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CFF44-1840-DF4F-AFD4-83A7157FAEC0}">
  <dimension ref="B3:Q55"/>
  <sheetViews>
    <sheetView tabSelected="1" topLeftCell="A32" zoomScaleNormal="100" workbookViewId="0">
      <selection activeCell="M58" sqref="M58"/>
    </sheetView>
  </sheetViews>
  <sheetFormatPr baseColWidth="10" defaultColWidth="9.5" defaultRowHeight="21" customHeight="1"/>
  <cols>
    <col min="1" max="16384" width="9.5" style="1"/>
  </cols>
  <sheetData>
    <row r="3" spans="2:14" ht="21" customHeight="1">
      <c r="C3" s="16" t="s">
        <v>17</v>
      </c>
      <c r="D3" s="16"/>
      <c r="E3" s="16"/>
      <c r="F3" s="16" t="s">
        <v>16</v>
      </c>
      <c r="G3" s="16"/>
      <c r="H3" s="16"/>
      <c r="I3" s="16" t="s">
        <v>15</v>
      </c>
      <c r="J3" s="16"/>
      <c r="K3" s="16"/>
      <c r="L3" s="16" t="s">
        <v>14</v>
      </c>
      <c r="M3" s="16"/>
      <c r="N3" s="16"/>
    </row>
    <row r="4" spans="2:14" ht="21" customHeight="1">
      <c r="B4" s="2" t="s">
        <v>13</v>
      </c>
      <c r="C4" s="2" t="s">
        <v>1</v>
      </c>
      <c r="D4" s="2" t="s">
        <v>0</v>
      </c>
      <c r="E4" s="2" t="s">
        <v>12</v>
      </c>
      <c r="F4" s="2" t="s">
        <v>1</v>
      </c>
      <c r="G4" s="2" t="s">
        <v>0</v>
      </c>
      <c r="H4" s="2" t="s">
        <v>12</v>
      </c>
      <c r="I4" s="2" t="s">
        <v>1</v>
      </c>
      <c r="J4" s="2" t="s">
        <v>0</v>
      </c>
      <c r="K4" s="2" t="s">
        <v>12</v>
      </c>
      <c r="L4" s="2" t="s">
        <v>1</v>
      </c>
      <c r="M4" s="2" t="s">
        <v>0</v>
      </c>
      <c r="N4" s="2" t="s">
        <v>12</v>
      </c>
    </row>
    <row r="5" spans="2:14" ht="21" customHeight="1">
      <c r="B5" s="1">
        <v>50</v>
      </c>
      <c r="C5" s="1">
        <v>1.6129999999999999E-2</v>
      </c>
      <c r="D5" s="6">
        <f>1000*C5/B5</f>
        <v>0.3226</v>
      </c>
      <c r="E5" s="7">
        <f>C5*D5</f>
        <v>5.2035379999999997E-3</v>
      </c>
      <c r="F5" s="1">
        <v>7.11E-3</v>
      </c>
      <c r="G5" s="6">
        <f>1000*F5/B5</f>
        <v>0.14219999999999999</v>
      </c>
      <c r="H5" s="7">
        <f>F5*G5</f>
        <v>1.011042E-3</v>
      </c>
      <c r="I5" s="1">
        <v>3.98E-3</v>
      </c>
      <c r="J5" s="6">
        <f>1000*I5/B5</f>
        <v>7.9600000000000004E-2</v>
      </c>
      <c r="K5" s="7">
        <f>I5*J5</f>
        <v>3.1680800000000002E-4</v>
      </c>
      <c r="L5" s="1">
        <v>2.5300000000000001E-3</v>
      </c>
      <c r="M5" s="6">
        <f>1000*L5/B5</f>
        <v>5.0600000000000006E-2</v>
      </c>
      <c r="N5" s="7">
        <f>L5*M5</f>
        <v>1.2801800000000003E-4</v>
      </c>
    </row>
    <row r="6" spans="2:14" ht="21" customHeight="1">
      <c r="B6" s="1">
        <v>200</v>
      </c>
      <c r="C6" s="6">
        <v>6.4299999999999996E-2</v>
      </c>
      <c r="D6" s="6">
        <f t="shared" ref="D6:D25" si="0">1000*C6/B6</f>
        <v>0.32150000000000001</v>
      </c>
      <c r="E6" s="7">
        <f t="shared" ref="E6:E25" si="1">C6*D6</f>
        <v>2.0672449999999998E-2</v>
      </c>
      <c r="F6" s="6">
        <v>2.8400000000000002E-2</v>
      </c>
      <c r="G6" s="6">
        <f t="shared" ref="G6:G24" si="2">1000*F6/B6</f>
        <v>0.14200000000000002</v>
      </c>
      <c r="H6" s="7">
        <f t="shared" ref="H6:H25" si="3">F6*G6</f>
        <v>4.0328000000000004E-3</v>
      </c>
      <c r="I6" s="6">
        <v>1.5900000000000001E-2</v>
      </c>
      <c r="J6" s="6">
        <f t="shared" ref="J6:J25" si="4">1000*I6/B6</f>
        <v>7.9500000000000001E-2</v>
      </c>
      <c r="K6" s="7">
        <f t="shared" ref="K6:K25" si="5">I6*J6</f>
        <v>1.2640500000000001E-3</v>
      </c>
      <c r="L6" s="6">
        <v>1.01E-2</v>
      </c>
      <c r="M6" s="6">
        <f t="shared" ref="M6:M25" si="6">1000*L6/B6</f>
        <v>5.0499999999999996E-2</v>
      </c>
      <c r="N6" s="7">
        <f t="shared" ref="N6:N25" si="7">L6*M6</f>
        <v>5.1004999999999996E-4</v>
      </c>
    </row>
    <row r="7" spans="2:14" ht="21" customHeight="1">
      <c r="B7" s="1">
        <v>300</v>
      </c>
      <c r="C7" s="6">
        <v>9.5600000000000004E-2</v>
      </c>
      <c r="D7" s="6">
        <f t="shared" si="0"/>
        <v>0.31866666666666671</v>
      </c>
      <c r="E7" s="7">
        <f t="shared" si="1"/>
        <v>3.0464533333333339E-2</v>
      </c>
      <c r="F7" s="6">
        <v>4.2599999999999999E-2</v>
      </c>
      <c r="G7" s="6">
        <f t="shared" si="2"/>
        <v>0.14200000000000002</v>
      </c>
      <c r="H7" s="7">
        <f t="shared" si="3"/>
        <v>6.0492000000000002E-3</v>
      </c>
      <c r="I7" s="6">
        <v>2.3699999999999999E-2</v>
      </c>
      <c r="J7" s="6">
        <f t="shared" si="4"/>
        <v>7.9000000000000001E-2</v>
      </c>
      <c r="K7" s="7">
        <f t="shared" si="5"/>
        <v>1.8722999999999999E-3</v>
      </c>
      <c r="L7" s="6">
        <v>1.5100000000000001E-2</v>
      </c>
      <c r="M7" s="6">
        <f t="shared" si="6"/>
        <v>5.0333333333333341E-2</v>
      </c>
      <c r="N7" s="7">
        <f t="shared" si="7"/>
        <v>7.600333333333335E-4</v>
      </c>
    </row>
    <row r="8" spans="2:14" ht="21" customHeight="1">
      <c r="B8" s="1">
        <v>400</v>
      </c>
      <c r="C8" s="6">
        <v>0.126</v>
      </c>
      <c r="D8" s="6">
        <f t="shared" si="0"/>
        <v>0.315</v>
      </c>
      <c r="E8" s="7">
        <f t="shared" si="1"/>
        <v>3.9690000000000003E-2</v>
      </c>
      <c r="F8" s="6">
        <v>5.67E-2</v>
      </c>
      <c r="G8" s="6">
        <f t="shared" si="2"/>
        <v>0.14175000000000001</v>
      </c>
      <c r="H8" s="7">
        <f t="shared" si="3"/>
        <v>8.0372250000000003E-3</v>
      </c>
      <c r="I8" s="6">
        <v>3.1600000000000003E-2</v>
      </c>
      <c r="J8" s="6">
        <f t="shared" si="4"/>
        <v>7.9000000000000001E-2</v>
      </c>
      <c r="K8" s="7">
        <f t="shared" si="5"/>
        <v>2.4964000000000002E-3</v>
      </c>
      <c r="L8" s="6">
        <v>2.01E-2</v>
      </c>
      <c r="M8" s="6">
        <f t="shared" si="6"/>
        <v>5.0250000000000003E-2</v>
      </c>
      <c r="N8" s="7">
        <f t="shared" si="7"/>
        <v>1.0100250000000001E-3</v>
      </c>
    </row>
    <row r="9" spans="2:14" ht="21" customHeight="1">
      <c r="B9" s="1">
        <v>500</v>
      </c>
      <c r="C9" s="6">
        <v>0.15490000000000001</v>
      </c>
      <c r="D9" s="6">
        <f t="shared" si="0"/>
        <v>0.30980000000000002</v>
      </c>
      <c r="E9" s="7">
        <f t="shared" si="1"/>
        <v>4.7988020000000006E-2</v>
      </c>
      <c r="F9" s="6">
        <v>7.0699999999999999E-2</v>
      </c>
      <c r="G9" s="6">
        <f t="shared" si="2"/>
        <v>0.1414</v>
      </c>
      <c r="H9" s="7">
        <f t="shared" si="3"/>
        <v>9.9969799999999991E-3</v>
      </c>
      <c r="I9" s="6">
        <v>3.95E-2</v>
      </c>
      <c r="J9" s="6">
        <f t="shared" si="4"/>
        <v>7.9000000000000001E-2</v>
      </c>
      <c r="K9" s="7">
        <f t="shared" si="5"/>
        <v>3.1205E-3</v>
      </c>
      <c r="L9" s="6">
        <v>2.5000000000000001E-2</v>
      </c>
      <c r="M9" s="6">
        <f t="shared" si="6"/>
        <v>0.05</v>
      </c>
      <c r="N9" s="7">
        <f t="shared" si="7"/>
        <v>1.2500000000000002E-3</v>
      </c>
    </row>
    <row r="10" spans="2:14" ht="21" customHeight="1">
      <c r="B10" s="1">
        <v>600</v>
      </c>
      <c r="C10" s="6">
        <v>0.18149999999999999</v>
      </c>
      <c r="D10" s="6">
        <f t="shared" si="0"/>
        <v>0.30249999999999999</v>
      </c>
      <c r="E10" s="7">
        <f t="shared" si="1"/>
        <v>5.4903749999999994E-2</v>
      </c>
      <c r="F10" s="6">
        <v>8.4699999999999998E-2</v>
      </c>
      <c r="G10" s="6">
        <f t="shared" si="2"/>
        <v>0.14116666666666666</v>
      </c>
      <c r="H10" s="7">
        <f t="shared" si="3"/>
        <v>1.1956816666666667E-2</v>
      </c>
      <c r="I10" s="6">
        <v>4.7300000000000002E-2</v>
      </c>
      <c r="J10" s="6">
        <f t="shared" si="4"/>
        <v>7.8833333333333339E-2</v>
      </c>
      <c r="K10" s="7">
        <f t="shared" si="5"/>
        <v>3.728816666666667E-3</v>
      </c>
      <c r="L10" s="6">
        <v>0.03</v>
      </c>
      <c r="M10" s="6">
        <f t="shared" si="6"/>
        <v>0.05</v>
      </c>
      <c r="N10" s="7">
        <f t="shared" si="7"/>
        <v>1.5E-3</v>
      </c>
    </row>
    <row r="11" spans="2:14" ht="21" customHeight="1">
      <c r="B11" s="1">
        <v>700</v>
      </c>
      <c r="C11" s="6">
        <v>0.2056</v>
      </c>
      <c r="D11" s="6">
        <f t="shared" si="0"/>
        <v>0.29371428571428571</v>
      </c>
      <c r="E11" s="7">
        <f t="shared" si="1"/>
        <v>6.038765714285714E-2</v>
      </c>
      <c r="F11" s="6">
        <v>9.8500000000000004E-2</v>
      </c>
      <c r="G11" s="6">
        <f t="shared" si="2"/>
        <v>0.14071428571428571</v>
      </c>
      <c r="H11" s="7">
        <f t="shared" si="3"/>
        <v>1.3860357142857143E-2</v>
      </c>
      <c r="I11" s="6">
        <v>5.5E-2</v>
      </c>
      <c r="J11" s="6">
        <f t="shared" si="4"/>
        <v>7.857142857142857E-2</v>
      </c>
      <c r="K11" s="7">
        <f t="shared" si="5"/>
        <v>4.3214285714285715E-3</v>
      </c>
      <c r="L11" s="6">
        <v>3.49E-2</v>
      </c>
      <c r="M11" s="6">
        <f t="shared" si="6"/>
        <v>4.9857142857142857E-2</v>
      </c>
      <c r="N11" s="7">
        <f t="shared" si="7"/>
        <v>1.7400142857142858E-3</v>
      </c>
    </row>
    <row r="12" spans="2:14" ht="21" customHeight="1">
      <c r="B12" s="1">
        <v>800</v>
      </c>
      <c r="C12" s="6">
        <v>0.22650000000000001</v>
      </c>
      <c r="D12" s="6">
        <f t="shared" si="0"/>
        <v>0.28312500000000002</v>
      </c>
      <c r="E12" s="7">
        <f t="shared" si="1"/>
        <v>6.4127812500000006E-2</v>
      </c>
      <c r="F12" s="6">
        <v>0.1123</v>
      </c>
      <c r="G12" s="6">
        <f t="shared" si="2"/>
        <v>0.140375</v>
      </c>
      <c r="H12" s="7">
        <f t="shared" si="3"/>
        <v>1.57641125E-2</v>
      </c>
      <c r="I12" s="6">
        <v>6.2799999999999995E-2</v>
      </c>
      <c r="J12" s="6">
        <f t="shared" si="4"/>
        <v>7.85E-2</v>
      </c>
      <c r="K12" s="7">
        <f t="shared" si="5"/>
        <v>4.9297999999999998E-3</v>
      </c>
      <c r="L12" s="6">
        <v>3.9800000000000002E-2</v>
      </c>
      <c r="M12" s="6">
        <f t="shared" si="6"/>
        <v>4.9750000000000003E-2</v>
      </c>
      <c r="N12" s="7">
        <f t="shared" si="7"/>
        <v>1.9800500000000001E-3</v>
      </c>
    </row>
    <row r="13" spans="2:14" ht="21" customHeight="1">
      <c r="B13" s="1">
        <v>900</v>
      </c>
      <c r="C13" s="6">
        <v>0.24460000000000001</v>
      </c>
      <c r="D13" s="6">
        <f t="shared" si="0"/>
        <v>0.27177777777777778</v>
      </c>
      <c r="E13" s="7">
        <f t="shared" si="1"/>
        <v>6.6476844444444447E-2</v>
      </c>
      <c r="F13" s="6">
        <v>0.12590000000000001</v>
      </c>
      <c r="G13" s="6">
        <f t="shared" si="2"/>
        <v>0.1398888888888889</v>
      </c>
      <c r="H13" s="7">
        <f t="shared" si="3"/>
        <v>1.7612011111111114E-2</v>
      </c>
      <c r="I13" s="6">
        <v>7.0599999999999996E-2</v>
      </c>
      <c r="J13" s="6">
        <f t="shared" si="4"/>
        <v>7.8444444444444442E-2</v>
      </c>
      <c r="K13" s="7">
        <f t="shared" si="5"/>
        <v>5.5381777777777771E-3</v>
      </c>
      <c r="L13" s="6">
        <v>4.48E-2</v>
      </c>
      <c r="M13" s="6">
        <f t="shared" si="6"/>
        <v>4.9777777777777775E-2</v>
      </c>
      <c r="N13" s="7">
        <f t="shared" si="7"/>
        <v>2.2300444444444444E-3</v>
      </c>
    </row>
    <row r="14" spans="2:14" ht="21" customHeight="1">
      <c r="B14" s="1">
        <v>1000</v>
      </c>
      <c r="C14" s="6">
        <v>0.25990000000000002</v>
      </c>
      <c r="D14" s="6">
        <f t="shared" si="0"/>
        <v>0.25990000000000002</v>
      </c>
      <c r="E14" s="7">
        <f t="shared" si="1"/>
        <v>6.7548010000000006E-2</v>
      </c>
      <c r="F14" s="6">
        <v>0.1394</v>
      </c>
      <c r="G14" s="6">
        <f t="shared" si="2"/>
        <v>0.1394</v>
      </c>
      <c r="H14" s="7">
        <f t="shared" si="3"/>
        <v>1.9432359999999999E-2</v>
      </c>
      <c r="I14" s="6">
        <v>7.8200000000000006E-2</v>
      </c>
      <c r="J14" s="6">
        <f t="shared" si="4"/>
        <v>7.8200000000000006E-2</v>
      </c>
      <c r="K14" s="7">
        <f t="shared" si="5"/>
        <v>6.115240000000001E-3</v>
      </c>
      <c r="L14" s="6">
        <v>4.9700000000000001E-2</v>
      </c>
      <c r="M14" s="6">
        <f t="shared" si="6"/>
        <v>4.9700000000000001E-2</v>
      </c>
      <c r="N14" s="7">
        <f t="shared" si="7"/>
        <v>2.4700900000000003E-3</v>
      </c>
    </row>
    <row r="15" spans="2:14" ht="21" customHeight="1">
      <c r="B15" s="1">
        <v>2000</v>
      </c>
      <c r="C15" s="6">
        <v>0.33579999999999999</v>
      </c>
      <c r="D15" s="6">
        <f t="shared" si="0"/>
        <v>0.16789999999999999</v>
      </c>
      <c r="E15" s="7">
        <f t="shared" si="1"/>
        <v>5.6380819999999998E-2</v>
      </c>
      <c r="F15" s="6">
        <v>0.25469999999999998</v>
      </c>
      <c r="G15" s="6">
        <f t="shared" si="2"/>
        <v>0.12734999999999999</v>
      </c>
      <c r="H15" s="7">
        <f t="shared" si="3"/>
        <v>3.2436044999999997E-2</v>
      </c>
      <c r="I15" s="6">
        <v>0.15329999999999999</v>
      </c>
      <c r="J15" s="6">
        <f t="shared" si="4"/>
        <v>7.6649999999999996E-2</v>
      </c>
      <c r="K15" s="7">
        <f t="shared" si="5"/>
        <v>1.1750444999999998E-2</v>
      </c>
      <c r="L15" s="6">
        <v>9.8000000000000004E-2</v>
      </c>
      <c r="M15" s="6">
        <f t="shared" si="6"/>
        <v>4.9000000000000002E-2</v>
      </c>
      <c r="N15" s="7">
        <f t="shared" si="7"/>
        <v>4.8020000000000007E-3</v>
      </c>
    </row>
    <row r="16" spans="2:14" ht="21" customHeight="1">
      <c r="B16" s="1">
        <v>3000</v>
      </c>
      <c r="C16" s="6">
        <v>0.36149999999999999</v>
      </c>
      <c r="D16" s="6">
        <f t="shared" si="0"/>
        <v>0.1205</v>
      </c>
      <c r="E16" s="7">
        <f t="shared" si="1"/>
        <v>4.3560749999999995E-2</v>
      </c>
      <c r="F16" s="6">
        <v>0.309</v>
      </c>
      <c r="G16" s="6">
        <f t="shared" si="2"/>
        <v>0.10299999999999999</v>
      </c>
      <c r="H16" s="7">
        <f t="shared" si="3"/>
        <v>3.1827000000000001E-2</v>
      </c>
      <c r="I16" s="6">
        <v>0.22040000000000001</v>
      </c>
      <c r="J16" s="6">
        <f t="shared" si="4"/>
        <v>7.3466666666666666E-2</v>
      </c>
      <c r="K16" s="7">
        <f t="shared" si="5"/>
        <v>1.6192053333333335E-2</v>
      </c>
      <c r="L16" s="6">
        <v>0.1444</v>
      </c>
      <c r="M16" s="6">
        <f t="shared" si="6"/>
        <v>4.8133333333333334E-2</v>
      </c>
      <c r="N16" s="7">
        <f t="shared" si="7"/>
        <v>6.9504533333333337E-3</v>
      </c>
    </row>
    <row r="17" spans="2:14" ht="21" customHeight="1">
      <c r="B17" s="1">
        <v>4000</v>
      </c>
      <c r="C17" s="6">
        <v>0.37419999999999998</v>
      </c>
      <c r="D17" s="6">
        <f t="shared" si="0"/>
        <v>9.3549999999999994E-2</v>
      </c>
      <c r="E17" s="7">
        <f t="shared" si="1"/>
        <v>3.5006409999999995E-2</v>
      </c>
      <c r="F17" s="6">
        <v>0.33229999999999998</v>
      </c>
      <c r="G17" s="6">
        <f t="shared" si="2"/>
        <v>8.3074999999999996E-2</v>
      </c>
      <c r="H17" s="7">
        <f t="shared" si="3"/>
        <v>2.7605822499999998E-2</v>
      </c>
      <c r="I17" s="6">
        <v>0.26950000000000002</v>
      </c>
      <c r="J17" s="6">
        <f t="shared" si="4"/>
        <v>6.7375000000000004E-2</v>
      </c>
      <c r="K17" s="7">
        <f t="shared" si="5"/>
        <v>1.8157562500000002E-2</v>
      </c>
      <c r="L17" s="6">
        <v>0.18740000000000001</v>
      </c>
      <c r="M17" s="6">
        <f t="shared" si="6"/>
        <v>4.6850000000000003E-2</v>
      </c>
      <c r="N17" s="7">
        <f t="shared" si="7"/>
        <v>8.7796900000000015E-3</v>
      </c>
    </row>
    <row r="18" spans="2:14" ht="21" customHeight="1">
      <c r="B18" s="1">
        <v>5000</v>
      </c>
      <c r="C18" s="6">
        <v>0.38169999999999998</v>
      </c>
      <c r="D18" s="6">
        <f t="shared" si="0"/>
        <v>7.6339999999999991E-2</v>
      </c>
      <c r="E18" s="7">
        <f t="shared" si="1"/>
        <v>2.9138977999999996E-2</v>
      </c>
      <c r="F18" s="6">
        <v>0.3448</v>
      </c>
      <c r="G18" s="6">
        <f t="shared" si="2"/>
        <v>6.8960000000000007E-2</v>
      </c>
      <c r="H18" s="7">
        <f t="shared" si="3"/>
        <v>2.3777408000000003E-2</v>
      </c>
      <c r="I18" s="6">
        <v>0.2979</v>
      </c>
      <c r="J18" s="6">
        <f t="shared" si="4"/>
        <v>5.9579999999999994E-2</v>
      </c>
      <c r="K18" s="7">
        <f t="shared" si="5"/>
        <v>1.7748881999999997E-2</v>
      </c>
      <c r="L18" s="6">
        <v>0.22500000000000001</v>
      </c>
      <c r="M18" s="6">
        <f t="shared" si="6"/>
        <v>4.4999999999999998E-2</v>
      </c>
      <c r="N18" s="7">
        <f t="shared" si="7"/>
        <v>1.0125E-2</v>
      </c>
    </row>
    <row r="19" spans="2:14" ht="21" customHeight="1">
      <c r="B19" s="1">
        <v>6000</v>
      </c>
      <c r="C19" s="6">
        <v>0.38669999999999999</v>
      </c>
      <c r="D19" s="6">
        <f t="shared" si="0"/>
        <v>6.4449999999999993E-2</v>
      </c>
      <c r="E19" s="7">
        <f t="shared" si="1"/>
        <v>2.4922814999999997E-2</v>
      </c>
      <c r="F19" s="6">
        <v>0.35260000000000002</v>
      </c>
      <c r="G19" s="6">
        <f t="shared" si="2"/>
        <v>5.8766666666666668E-2</v>
      </c>
      <c r="H19" s="7">
        <f t="shared" si="3"/>
        <v>2.0721126666666669E-2</v>
      </c>
      <c r="I19" s="6">
        <v>0.31440000000000001</v>
      </c>
      <c r="J19" s="6">
        <f t="shared" si="4"/>
        <v>5.2400000000000009E-2</v>
      </c>
      <c r="K19" s="7">
        <f t="shared" si="5"/>
        <v>1.6474560000000003E-2</v>
      </c>
      <c r="L19" s="6">
        <v>0.25469999999999998</v>
      </c>
      <c r="M19" s="6">
        <f t="shared" si="6"/>
        <v>4.2449999999999995E-2</v>
      </c>
      <c r="N19" s="7">
        <f t="shared" si="7"/>
        <v>1.0812014999999998E-2</v>
      </c>
    </row>
    <row r="20" spans="2:14" ht="21" customHeight="1">
      <c r="B20" s="1">
        <v>7000</v>
      </c>
      <c r="C20" s="6">
        <v>0.39019999999999999</v>
      </c>
      <c r="D20" s="6">
        <f t="shared" si="0"/>
        <v>5.5742857142857143E-2</v>
      </c>
      <c r="E20" s="7">
        <f t="shared" si="1"/>
        <v>2.1750862857142856E-2</v>
      </c>
      <c r="F20" s="6">
        <v>0.35809999999999997</v>
      </c>
      <c r="G20" s="6">
        <f t="shared" si="2"/>
        <v>5.1157142857142852E-2</v>
      </c>
      <c r="H20" s="7">
        <f t="shared" si="3"/>
        <v>1.8319372857142854E-2</v>
      </c>
      <c r="I20" s="6">
        <v>0.32469999999999999</v>
      </c>
      <c r="J20" s="6">
        <f t="shared" si="4"/>
        <v>4.6385714285714287E-2</v>
      </c>
      <c r="K20" s="7">
        <f t="shared" si="5"/>
        <v>1.5061441428571428E-2</v>
      </c>
      <c r="L20" s="6">
        <v>0.2762</v>
      </c>
      <c r="M20" s="6">
        <f t="shared" si="6"/>
        <v>3.9457142857142857E-2</v>
      </c>
      <c r="N20" s="7">
        <f t="shared" si="7"/>
        <v>1.0898062857142857E-2</v>
      </c>
    </row>
    <row r="21" spans="2:14" ht="21" customHeight="1">
      <c r="B21" s="1">
        <v>8000</v>
      </c>
      <c r="C21" s="6">
        <v>0.39269999999999999</v>
      </c>
      <c r="D21" s="6">
        <f t="shared" si="0"/>
        <v>4.9087499999999999E-2</v>
      </c>
      <c r="E21" s="7">
        <f t="shared" si="1"/>
        <v>1.927666125E-2</v>
      </c>
      <c r="F21" s="6">
        <v>0.36199999999999999</v>
      </c>
      <c r="G21" s="6">
        <f t="shared" si="2"/>
        <v>4.5249999999999999E-2</v>
      </c>
      <c r="H21" s="7">
        <f t="shared" si="3"/>
        <v>1.6380499999999999E-2</v>
      </c>
      <c r="I21" s="6">
        <v>0.33189999999999997</v>
      </c>
      <c r="J21" s="6">
        <f t="shared" si="4"/>
        <v>4.1487499999999997E-2</v>
      </c>
      <c r="K21" s="7">
        <f t="shared" si="5"/>
        <v>1.3769701249999997E-2</v>
      </c>
      <c r="L21" s="6">
        <v>0.2908</v>
      </c>
      <c r="M21" s="6">
        <f t="shared" si="6"/>
        <v>3.635E-2</v>
      </c>
      <c r="N21" s="7">
        <f t="shared" si="7"/>
        <v>1.057058E-2</v>
      </c>
    </row>
    <row r="22" spans="2:14" ht="21" customHeight="1">
      <c r="B22" s="1">
        <v>9000</v>
      </c>
      <c r="C22" s="6">
        <v>0.39479999999999998</v>
      </c>
      <c r="D22" s="6">
        <f t="shared" si="0"/>
        <v>4.3866666666666665E-2</v>
      </c>
      <c r="E22" s="7">
        <f t="shared" si="1"/>
        <v>1.731856E-2</v>
      </c>
      <c r="F22" s="6">
        <v>0.36499999999999999</v>
      </c>
      <c r="G22" s="6">
        <f t="shared" si="2"/>
        <v>4.0555555555555553E-2</v>
      </c>
      <c r="H22" s="7">
        <f t="shared" si="3"/>
        <v>1.4802777777777776E-2</v>
      </c>
      <c r="I22" s="6">
        <v>0.3372</v>
      </c>
      <c r="J22" s="6">
        <f t="shared" si="4"/>
        <v>3.7466666666666662E-2</v>
      </c>
      <c r="K22" s="7">
        <f t="shared" si="5"/>
        <v>1.2633759999999999E-2</v>
      </c>
      <c r="L22" s="6">
        <v>0.30099999999999999</v>
      </c>
      <c r="M22" s="6">
        <f t="shared" si="6"/>
        <v>3.3444444444444443E-2</v>
      </c>
      <c r="N22" s="7">
        <f t="shared" si="7"/>
        <v>1.0066777777777777E-2</v>
      </c>
    </row>
    <row r="23" spans="2:14" ht="21" customHeight="1">
      <c r="B23" s="1">
        <v>10000</v>
      </c>
      <c r="C23" s="6">
        <v>0.39639999999999997</v>
      </c>
      <c r="D23" s="6">
        <f t="shared" si="0"/>
        <v>3.9639999999999995E-2</v>
      </c>
      <c r="E23" s="7">
        <f t="shared" si="1"/>
        <v>1.5713295999999998E-2</v>
      </c>
      <c r="F23" s="6">
        <v>0.3674</v>
      </c>
      <c r="G23" s="6">
        <f t="shared" si="2"/>
        <v>3.6739999999999995E-2</v>
      </c>
      <c r="H23" s="7">
        <f t="shared" si="3"/>
        <v>1.3498275999999998E-2</v>
      </c>
      <c r="I23" s="6">
        <v>0.3412</v>
      </c>
      <c r="J23" s="6">
        <f t="shared" si="4"/>
        <v>3.4119999999999998E-2</v>
      </c>
      <c r="K23" s="7">
        <f t="shared" si="5"/>
        <v>1.1641743999999999E-2</v>
      </c>
      <c r="L23" s="6">
        <v>0.30859999999999999</v>
      </c>
      <c r="M23" s="6">
        <f t="shared" si="6"/>
        <v>3.0859999999999995E-2</v>
      </c>
      <c r="N23" s="7">
        <f t="shared" si="7"/>
        <v>9.5233959999999982E-3</v>
      </c>
    </row>
    <row r="24" spans="2:14" ht="21" customHeight="1">
      <c r="B24" s="1">
        <v>15000</v>
      </c>
      <c r="C24" s="6">
        <v>0.40129999999999999</v>
      </c>
      <c r="D24" s="6">
        <f t="shared" si="0"/>
        <v>2.6753333333333334E-2</v>
      </c>
      <c r="E24" s="7">
        <f t="shared" si="1"/>
        <v>1.0736112666666667E-2</v>
      </c>
      <c r="F24" s="6">
        <v>0.37430000000000002</v>
      </c>
      <c r="G24" s="6">
        <f t="shared" si="2"/>
        <v>2.4953333333333334E-2</v>
      </c>
      <c r="H24" s="7">
        <f t="shared" si="3"/>
        <v>9.3400326666666679E-3</v>
      </c>
      <c r="I24" s="6">
        <v>0.35239999999999999</v>
      </c>
      <c r="J24" s="6">
        <f t="shared" si="4"/>
        <v>2.3493333333333331E-2</v>
      </c>
      <c r="K24" s="7">
        <f t="shared" si="5"/>
        <v>8.2790506666666659E-3</v>
      </c>
      <c r="L24" s="6">
        <v>0.32790000000000002</v>
      </c>
      <c r="M24" s="6">
        <f t="shared" si="6"/>
        <v>2.1860000000000001E-2</v>
      </c>
      <c r="N24" s="7">
        <f t="shared" si="7"/>
        <v>7.167894000000001E-3</v>
      </c>
    </row>
    <row r="25" spans="2:14" ht="21" customHeight="1">
      <c r="B25" s="1">
        <v>20000</v>
      </c>
      <c r="C25" s="6">
        <v>0.4037</v>
      </c>
      <c r="D25" s="6">
        <f t="shared" si="0"/>
        <v>2.0184999999999998E-2</v>
      </c>
      <c r="E25" s="7">
        <f t="shared" si="1"/>
        <v>8.1486844999999995E-3</v>
      </c>
      <c r="F25" s="6">
        <v>0.37769999999999998</v>
      </c>
      <c r="G25" s="6">
        <f>1000*F25/B25</f>
        <v>1.8884999999999999E-2</v>
      </c>
      <c r="H25" s="7">
        <f t="shared" si="3"/>
        <v>7.1328644999999989E-3</v>
      </c>
      <c r="I25" s="6">
        <v>0.35749999999999998</v>
      </c>
      <c r="J25" s="6">
        <f t="shared" si="4"/>
        <v>1.7874999999999999E-2</v>
      </c>
      <c r="K25" s="7">
        <f t="shared" si="5"/>
        <v>6.3903124999999993E-3</v>
      </c>
      <c r="L25" s="6">
        <v>0.33610000000000001</v>
      </c>
      <c r="M25" s="6">
        <f t="shared" si="6"/>
        <v>1.6805E-2</v>
      </c>
      <c r="N25" s="7">
        <f t="shared" si="7"/>
        <v>5.6481605000000008E-3</v>
      </c>
    </row>
    <row r="26" spans="2:14" ht="21" customHeight="1">
      <c r="B26" s="1" t="s">
        <v>11</v>
      </c>
      <c r="C26" s="6">
        <v>0.41320000000000001</v>
      </c>
      <c r="D26" s="6" t="s">
        <v>18</v>
      </c>
      <c r="E26" s="6" t="s">
        <v>18</v>
      </c>
      <c r="F26" s="6">
        <v>0.39889999999999998</v>
      </c>
      <c r="G26" s="6" t="s">
        <v>18</v>
      </c>
      <c r="H26" s="6" t="s">
        <v>18</v>
      </c>
      <c r="I26" s="6">
        <v>0.37259999999999999</v>
      </c>
      <c r="J26" s="6" t="s">
        <v>18</v>
      </c>
      <c r="K26" s="6" t="s">
        <v>18</v>
      </c>
      <c r="L26" s="6">
        <v>0.35599999999999998</v>
      </c>
      <c r="M26" s="6" t="s">
        <v>18</v>
      </c>
      <c r="N26" s="6" t="s">
        <v>18</v>
      </c>
    </row>
    <row r="30" spans="2:14" ht="21" customHeight="1">
      <c r="B30" s="5" t="s">
        <v>10</v>
      </c>
      <c r="C30" s="1">
        <v>1</v>
      </c>
      <c r="D30" s="1">
        <v>2</v>
      </c>
      <c r="E30" s="1">
        <v>3</v>
      </c>
      <c r="F30" s="1">
        <v>4</v>
      </c>
      <c r="G30" s="1">
        <v>5</v>
      </c>
      <c r="H30" s="1">
        <v>6</v>
      </c>
      <c r="I30" s="1">
        <v>7</v>
      </c>
      <c r="J30" s="1">
        <v>8</v>
      </c>
      <c r="K30" s="1">
        <v>9</v>
      </c>
      <c r="L30" s="1">
        <v>10</v>
      </c>
    </row>
    <row r="31" spans="2:14" ht="21" customHeight="1">
      <c r="B31" s="2" t="s">
        <v>0</v>
      </c>
      <c r="C31" s="8">
        <v>0.04</v>
      </c>
      <c r="D31" s="8">
        <v>1</v>
      </c>
      <c r="E31" s="8">
        <v>1.6</v>
      </c>
      <c r="F31" s="8">
        <v>2</v>
      </c>
      <c r="G31" s="8">
        <v>2.4</v>
      </c>
      <c r="H31" s="8">
        <v>3</v>
      </c>
      <c r="I31" s="8">
        <v>3.6</v>
      </c>
      <c r="J31" s="8">
        <v>4</v>
      </c>
      <c r="K31" s="8">
        <v>4.8</v>
      </c>
      <c r="L31" s="8">
        <v>5.6</v>
      </c>
    </row>
    <row r="32" spans="2:14" ht="21" customHeight="1">
      <c r="B32" s="2" t="s">
        <v>1</v>
      </c>
      <c r="C32" s="1">
        <v>0.50209999999999999</v>
      </c>
      <c r="D32" s="1">
        <v>0.62829999999999997</v>
      </c>
      <c r="E32" s="1">
        <v>0.70630000000000004</v>
      </c>
      <c r="F32" s="1">
        <v>0.74819999999999998</v>
      </c>
      <c r="G32" s="1">
        <v>0.7883</v>
      </c>
      <c r="H32" s="1">
        <v>0.83540000000000003</v>
      </c>
      <c r="I32" s="1">
        <v>0.87580000000000002</v>
      </c>
      <c r="J32" s="1">
        <v>0.90329999999999999</v>
      </c>
      <c r="K32" s="1">
        <v>0.95220000000000005</v>
      </c>
      <c r="L32" s="1">
        <v>0.99729999999999996</v>
      </c>
    </row>
    <row r="33" spans="2:17" ht="21" customHeight="1">
      <c r="B33" s="5" t="s">
        <v>10</v>
      </c>
      <c r="C33" s="1">
        <v>11</v>
      </c>
      <c r="D33" s="1">
        <v>12</v>
      </c>
      <c r="E33" s="1">
        <v>13</v>
      </c>
      <c r="F33" s="1">
        <v>14</v>
      </c>
      <c r="G33" s="1">
        <v>15</v>
      </c>
      <c r="H33" s="1">
        <v>16</v>
      </c>
      <c r="I33" s="1">
        <v>17</v>
      </c>
      <c r="J33" s="1">
        <v>18</v>
      </c>
      <c r="K33" s="1">
        <v>19</v>
      </c>
      <c r="L33" s="1">
        <v>20</v>
      </c>
    </row>
    <row r="34" spans="2:17" ht="21" customHeight="1">
      <c r="B34" s="2" t="s">
        <v>0</v>
      </c>
      <c r="C34" s="8">
        <v>6</v>
      </c>
      <c r="D34" s="8">
        <v>7</v>
      </c>
      <c r="E34" s="8">
        <v>8</v>
      </c>
      <c r="F34" s="8">
        <v>9</v>
      </c>
      <c r="G34" s="8">
        <v>10</v>
      </c>
      <c r="H34" s="8">
        <v>11</v>
      </c>
      <c r="I34" s="8">
        <v>12</v>
      </c>
      <c r="J34" s="8">
        <v>13</v>
      </c>
      <c r="K34" s="8">
        <v>14</v>
      </c>
      <c r="L34" s="8">
        <v>16</v>
      </c>
    </row>
    <row r="35" spans="2:17" ht="21" customHeight="1">
      <c r="B35" s="2" t="s">
        <v>1</v>
      </c>
      <c r="C35" s="1">
        <v>1.0178</v>
      </c>
      <c r="D35" s="1">
        <v>1.0658000000000001</v>
      </c>
      <c r="E35" s="1">
        <v>1.1103000000000001</v>
      </c>
      <c r="F35" s="1">
        <v>1.1493</v>
      </c>
      <c r="G35" s="1">
        <v>1.1870000000000001</v>
      </c>
      <c r="H35" s="1">
        <v>1.2224999999999999</v>
      </c>
      <c r="I35" s="1">
        <v>1.2542</v>
      </c>
      <c r="J35" s="1">
        <v>1.2862</v>
      </c>
      <c r="K35" s="1">
        <v>1.3146</v>
      </c>
      <c r="L35" s="1">
        <v>1.3694</v>
      </c>
    </row>
    <row r="39" spans="2:17" ht="21" customHeight="1">
      <c r="B39" s="5" t="s">
        <v>7</v>
      </c>
      <c r="C39" s="1">
        <v>20</v>
      </c>
      <c r="D39" s="1">
        <v>25</v>
      </c>
      <c r="E39" s="1">
        <v>30</v>
      </c>
      <c r="F39" s="1">
        <v>35</v>
      </c>
      <c r="G39" s="1">
        <v>40</v>
      </c>
      <c r="H39" s="1">
        <v>45</v>
      </c>
      <c r="I39" s="1">
        <v>50</v>
      </c>
    </row>
    <row r="40" spans="2:17" ht="21" customHeight="1">
      <c r="B40" s="5" t="s">
        <v>6</v>
      </c>
      <c r="C40" s="9">
        <f>100000/C39^2</f>
        <v>250</v>
      </c>
      <c r="D40" s="9">
        <f t="shared" ref="D40:H40" si="8">100000/D39^2</f>
        <v>160</v>
      </c>
      <c r="E40" s="9">
        <f t="shared" si="8"/>
        <v>111.11111111111111</v>
      </c>
      <c r="F40" s="9">
        <f t="shared" si="8"/>
        <v>81.632653061224488</v>
      </c>
      <c r="G40" s="9">
        <f t="shared" si="8"/>
        <v>62.5</v>
      </c>
      <c r="H40" s="9">
        <f t="shared" si="8"/>
        <v>49.382716049382715</v>
      </c>
      <c r="I40" s="10">
        <v>40</v>
      </c>
    </row>
    <row r="41" spans="2:17" ht="21" customHeight="1">
      <c r="B41" s="2" t="s">
        <v>9</v>
      </c>
      <c r="C41" s="4">
        <v>0.41320000000000001</v>
      </c>
      <c r="D41" s="1">
        <v>0.39960000000000001</v>
      </c>
      <c r="E41" s="1">
        <v>0.38890000000000002</v>
      </c>
      <c r="F41" s="1">
        <v>0.37959999999999999</v>
      </c>
      <c r="G41" s="1">
        <v>0.371</v>
      </c>
      <c r="H41" s="1">
        <v>0.3634</v>
      </c>
      <c r="I41" s="1">
        <v>0.35599999999999998</v>
      </c>
    </row>
    <row r="42" spans="2:17" ht="21" customHeight="1">
      <c r="B42" s="19" t="s">
        <v>19</v>
      </c>
      <c r="C42" s="4">
        <v>1.6129999999999999E-2</v>
      </c>
      <c r="D42" s="1">
        <v>1.0359999999999999E-2</v>
      </c>
      <c r="E42" s="1">
        <v>7.11E-3</v>
      </c>
      <c r="F42" s="1">
        <v>5.2300000000000003E-3</v>
      </c>
      <c r="G42" s="1">
        <v>3.98E-3</v>
      </c>
      <c r="H42" s="1">
        <v>3.1199999999999999E-3</v>
      </c>
      <c r="I42" s="1">
        <v>2.5300000000000001E-3</v>
      </c>
    </row>
    <row r="43" spans="2:17" ht="21" customHeight="1">
      <c r="B43" s="2" t="s">
        <v>8</v>
      </c>
      <c r="C43" s="4">
        <f>20*0.01613</f>
        <v>0.3226</v>
      </c>
      <c r="D43" s="1">
        <f>20*D42</f>
        <v>0.2072</v>
      </c>
      <c r="E43" s="1">
        <f t="shared" ref="E43:I43" si="9">20*E42</f>
        <v>0.14219999999999999</v>
      </c>
      <c r="F43" s="1">
        <f t="shared" si="9"/>
        <v>0.1046</v>
      </c>
      <c r="G43" s="1">
        <f t="shared" si="9"/>
        <v>7.9600000000000004E-2</v>
      </c>
      <c r="H43" s="1">
        <f t="shared" si="9"/>
        <v>6.2399999999999997E-2</v>
      </c>
      <c r="I43" s="1">
        <f t="shared" si="9"/>
        <v>5.0600000000000006E-2</v>
      </c>
    </row>
    <row r="45" spans="2:17" ht="21" customHeight="1">
      <c r="B45" s="11"/>
      <c r="C45" s="3"/>
    </row>
    <row r="46" spans="2:17" ht="21" customHeight="1">
      <c r="B46" s="16" t="s">
        <v>7</v>
      </c>
      <c r="C46" s="16"/>
      <c r="D46" s="1">
        <v>20</v>
      </c>
      <c r="E46" s="1">
        <v>25</v>
      </c>
      <c r="F46" s="1">
        <v>30</v>
      </c>
      <c r="G46" s="1">
        <v>35</v>
      </c>
      <c r="H46" s="1">
        <v>40</v>
      </c>
      <c r="I46" s="1">
        <v>45</v>
      </c>
      <c r="J46" s="1">
        <v>50</v>
      </c>
    </row>
    <row r="47" spans="2:17" ht="21" customHeight="1">
      <c r="B47" s="17" t="s">
        <v>6</v>
      </c>
      <c r="C47" s="18"/>
      <c r="D47" s="9">
        <f>100000/D46^2</f>
        <v>250</v>
      </c>
      <c r="E47" s="9">
        <f t="shared" ref="E47" si="10">100000/E46^2</f>
        <v>160</v>
      </c>
      <c r="F47" s="9">
        <f t="shared" ref="F47" si="11">100000/F46^2</f>
        <v>111.11111111111111</v>
      </c>
      <c r="G47" s="9">
        <f t="shared" ref="G47" si="12">100000/G46^2</f>
        <v>81.632653061224488</v>
      </c>
      <c r="H47" s="9">
        <f t="shared" ref="H47" si="13">100000/H46^2</f>
        <v>62.5</v>
      </c>
      <c r="I47" s="9">
        <f t="shared" ref="I47" si="14">100000/I46^2</f>
        <v>49.382716049382715</v>
      </c>
      <c r="J47" s="10">
        <v>40</v>
      </c>
      <c r="K47" s="1">
        <v>250</v>
      </c>
      <c r="L47" s="1">
        <v>160</v>
      </c>
      <c r="M47" s="1">
        <v>111.11111111111111</v>
      </c>
      <c r="N47" s="1">
        <v>81.632653061224488</v>
      </c>
      <c r="O47" s="1">
        <v>62.5</v>
      </c>
      <c r="P47" s="1">
        <v>49.382716049382715</v>
      </c>
      <c r="Q47" s="1">
        <v>40</v>
      </c>
    </row>
    <row r="48" spans="2:17" ht="21" customHeight="1">
      <c r="B48" s="14" t="s">
        <v>5</v>
      </c>
      <c r="C48" s="2" t="s">
        <v>1</v>
      </c>
      <c r="D48" s="12">
        <v>3.2559999999999999E-2</v>
      </c>
      <c r="E48" s="7">
        <v>2.078E-2</v>
      </c>
      <c r="F48" s="7">
        <v>1.478E-2</v>
      </c>
      <c r="G48" s="7">
        <v>1.047E-2</v>
      </c>
      <c r="H48" s="7">
        <v>7.9000000000000008E-3</v>
      </c>
      <c r="I48" s="7">
        <v>6.2199999999999998E-3</v>
      </c>
      <c r="J48" s="7">
        <v>5.2199999999999998E-3</v>
      </c>
      <c r="K48" s="1">
        <v>250</v>
      </c>
      <c r="L48" s="1">
        <v>160</v>
      </c>
      <c r="M48" s="1">
        <v>111.11111111111111</v>
      </c>
      <c r="N48" s="1">
        <v>81.632653061224488</v>
      </c>
      <c r="O48" s="1">
        <v>62.5</v>
      </c>
      <c r="P48" s="1">
        <v>49.382716049382715</v>
      </c>
      <c r="Q48" s="1">
        <v>40</v>
      </c>
    </row>
    <row r="49" spans="2:17" ht="21" customHeight="1">
      <c r="B49" s="15"/>
      <c r="C49" s="2" t="s">
        <v>0</v>
      </c>
      <c r="D49" s="12">
        <f>D48*10</f>
        <v>0.3256</v>
      </c>
      <c r="E49" s="12">
        <f t="shared" ref="E49:J49" si="15">E48*10</f>
        <v>0.20779999999999998</v>
      </c>
      <c r="F49" s="12">
        <f t="shared" si="15"/>
        <v>0.14779999999999999</v>
      </c>
      <c r="G49" s="12">
        <f t="shared" si="15"/>
        <v>0.1047</v>
      </c>
      <c r="H49" s="12">
        <f t="shared" si="15"/>
        <v>7.9000000000000015E-2</v>
      </c>
      <c r="I49" s="12">
        <f t="shared" si="15"/>
        <v>6.2199999999999998E-2</v>
      </c>
      <c r="J49" s="12">
        <f t="shared" si="15"/>
        <v>5.2199999999999996E-2</v>
      </c>
      <c r="K49" s="1">
        <v>250</v>
      </c>
      <c r="L49" s="1">
        <v>160</v>
      </c>
      <c r="M49" s="1">
        <v>111.11111111111111</v>
      </c>
      <c r="N49" s="1">
        <v>81.632653061224488</v>
      </c>
      <c r="O49" s="1">
        <v>62.5</v>
      </c>
      <c r="P49" s="1">
        <v>49.382716049382715</v>
      </c>
      <c r="Q49" s="1">
        <v>40</v>
      </c>
    </row>
    <row r="50" spans="2:17" ht="21" customHeight="1">
      <c r="B50" s="14" t="s">
        <v>4</v>
      </c>
      <c r="C50" s="2" t="s">
        <v>1</v>
      </c>
      <c r="D50" s="13">
        <v>0.25990000000000002</v>
      </c>
      <c r="E50" s="13">
        <v>0.19700000000000001</v>
      </c>
      <c r="F50" s="13">
        <v>0.1394</v>
      </c>
      <c r="G50" s="13">
        <v>0.1024</v>
      </c>
      <c r="H50" s="13">
        <v>7.8200000000000006E-2</v>
      </c>
      <c r="I50" s="13">
        <v>6.1699999999999998E-2</v>
      </c>
      <c r="J50" s="13">
        <v>4.9700000000000001E-2</v>
      </c>
    </row>
    <row r="51" spans="2:17" ht="21" customHeight="1">
      <c r="B51" s="15"/>
      <c r="C51" s="2" t="s">
        <v>0</v>
      </c>
      <c r="D51" s="13">
        <v>0.25990000000000002</v>
      </c>
      <c r="E51" s="13">
        <v>0.19700000000000001</v>
      </c>
      <c r="F51" s="13">
        <v>0.1394</v>
      </c>
      <c r="G51" s="13">
        <v>0.1024</v>
      </c>
      <c r="H51" s="13">
        <v>7.8200000000000006E-2</v>
      </c>
      <c r="I51" s="13">
        <v>6.1699999999999998E-2</v>
      </c>
      <c r="J51" s="13">
        <v>4.9700000000000001E-2</v>
      </c>
    </row>
    <row r="52" spans="2:17" ht="21" customHeight="1">
      <c r="B52" s="14" t="s">
        <v>3</v>
      </c>
      <c r="C52" s="2" t="s">
        <v>1</v>
      </c>
      <c r="D52" s="13">
        <v>0.38169999999999998</v>
      </c>
      <c r="E52" s="13">
        <v>0.36370000000000002</v>
      </c>
      <c r="F52" s="13">
        <v>0.3448</v>
      </c>
      <c r="G52" s="13">
        <v>0.3241</v>
      </c>
      <c r="H52" s="13">
        <v>0.2979</v>
      </c>
      <c r="I52" s="13">
        <v>0.26340000000000002</v>
      </c>
      <c r="J52" s="13">
        <v>0.22500000000000001</v>
      </c>
    </row>
    <row r="53" spans="2:17" ht="21" customHeight="1">
      <c r="B53" s="15"/>
      <c r="C53" s="2" t="s">
        <v>0</v>
      </c>
      <c r="D53" s="7">
        <f>D52/5</f>
        <v>7.6339999999999991E-2</v>
      </c>
      <c r="E53" s="7">
        <f t="shared" ref="E53:J53" si="16">E52/5</f>
        <v>7.2739999999999999E-2</v>
      </c>
      <c r="F53" s="7">
        <f t="shared" si="16"/>
        <v>6.8959999999999994E-2</v>
      </c>
      <c r="G53" s="7">
        <f t="shared" si="16"/>
        <v>6.4820000000000003E-2</v>
      </c>
      <c r="H53" s="7">
        <f t="shared" si="16"/>
        <v>5.9580000000000001E-2</v>
      </c>
      <c r="I53" s="7">
        <f t="shared" si="16"/>
        <v>5.2680000000000005E-2</v>
      </c>
      <c r="J53" s="7">
        <f t="shared" si="16"/>
        <v>4.4999999999999998E-2</v>
      </c>
    </row>
    <row r="54" spans="2:17" ht="21" customHeight="1">
      <c r="B54" s="14" t="s">
        <v>2</v>
      </c>
      <c r="C54" s="2" t="s">
        <v>1</v>
      </c>
      <c r="D54" s="13">
        <v>0.39639999999999997</v>
      </c>
      <c r="E54" s="13">
        <v>0.38200000000000001</v>
      </c>
      <c r="F54" s="13">
        <v>0.3674</v>
      </c>
      <c r="G54" s="13">
        <v>0.35420000000000001</v>
      </c>
      <c r="H54" s="13">
        <v>0.3412</v>
      </c>
      <c r="I54" s="13">
        <v>0.3251</v>
      </c>
      <c r="J54" s="13">
        <v>0.30859999999999999</v>
      </c>
    </row>
    <row r="55" spans="2:17" ht="21" customHeight="1">
      <c r="B55" s="15"/>
      <c r="C55" s="2" t="s">
        <v>0</v>
      </c>
      <c r="D55" s="7">
        <f>D54/10</f>
        <v>3.9639999999999995E-2</v>
      </c>
      <c r="E55" s="7">
        <f t="shared" ref="E55:J55" si="17">E54/10</f>
        <v>3.8199999999999998E-2</v>
      </c>
      <c r="F55" s="7">
        <f t="shared" si="17"/>
        <v>3.6740000000000002E-2</v>
      </c>
      <c r="G55" s="7">
        <f t="shared" si="17"/>
        <v>3.542E-2</v>
      </c>
      <c r="H55" s="7">
        <f t="shared" si="17"/>
        <v>3.4119999999999998E-2</v>
      </c>
      <c r="I55" s="7">
        <f t="shared" si="17"/>
        <v>3.2509999999999997E-2</v>
      </c>
      <c r="J55" s="7">
        <f t="shared" si="17"/>
        <v>3.0859999999999999E-2</v>
      </c>
    </row>
  </sheetData>
  <mergeCells count="10">
    <mergeCell ref="L3:N3"/>
    <mergeCell ref="B48:B49"/>
    <mergeCell ref="B50:B51"/>
    <mergeCell ref="B52:B53"/>
    <mergeCell ref="B54:B55"/>
    <mergeCell ref="C3:E3"/>
    <mergeCell ref="F3:H3"/>
    <mergeCell ref="I3:K3"/>
    <mergeCell ref="B46:C46"/>
    <mergeCell ref="B47:C47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硅光电池数据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2022-03-29T05:45:21Z</dcterms:created>
  <dcterms:modified xsi:type="dcterms:W3CDTF">2022-03-29T17:51:17Z</dcterms:modified>
</cp:coreProperties>
</file>